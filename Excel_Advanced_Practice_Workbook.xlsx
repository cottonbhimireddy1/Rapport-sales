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Foundations" sheetId="2" state="visible" r:id="rId4"/>
    <sheet name="02_Stores" sheetId="3" state="visible" r:id="rId5"/>
    <sheet name="03_Assets" sheetId="4" state="visible" r:id="rId6"/>
    <sheet name="04_Providers" sheetId="5" state="visible" r:id="rId7"/>
    <sheet name="05_Employees" sheetId="6" state="visible" r:id="rId8"/>
    <sheet name="06_Tickets" sheetId="7" state="visible" r:id="rId9"/>
    <sheet name="07_MessyData" sheetId="8" state="visible" r:id="rId10"/>
    <sheet name="10_PivotTables" sheetId="9" state="visible" r:id="rId11"/>
    <sheet name="11_VLOOKUP_XLOOKUP" sheetId="10" state="visible" r:id="rId12"/>
    <sheet name="12_Dashboards" sheetId="11" state="visible" r:id="rId13"/>
    <sheet name="13_PowerQuery" sheetId="12" state="visible" r:id="rId14"/>
    <sheet name="14_PowerBI" sheetId="13" state="visible" r:id="rId15"/>
    <sheet name="20_Interview_Qs" sheetId="14" state="visible" r:id="rId16"/>
    <sheet name="99_Solution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<sst xmlns="http://schemas.openxmlformats.org/spreadsheetml/2006/main" count="3521" uniqueCount="1105">
  <si>
    <t xml:space="preserve">EXCEL ADVANCED TOPICS — PRACTICE WORKBOOK</t>
  </si>
  <si>
    <t xml:space="preserve">Facilities Management edition · built for Senior Project Coordinator interview prep at Rapport</t>
  </si>
  <si>
    <t xml:space="preserve">  HOW TO USE</t>
  </si>
  <si>
    <t xml:space="preserve">1. Work through the sheets IN ORDER (00 → 20). Each one builds on the previous.</t>
  </si>
  <si>
    <t xml:space="preserve">2. Every topic sheet has three zones: LEARN (concepts), PRACTICE (try it yourself), CHALLENGE (harder).</t>
  </si>
  <si>
    <t xml:space="preserve">3. The yellow-tinted cells are where YOU write formulas. The green-tinted cells are worked solutions.</t>
  </si>
  <si>
    <t xml:space="preserve">4. The data tables (Stores, Assets, Providers, Employees, Tickets) are your sandbox — experiment freely.</t>
  </si>
  <si>
    <t xml:space="preserve">5. Power Query &amp; Power BI are GUI-driven — those sheets are written as step-by-step walkthroughs.</t>
  </si>
  <si>
    <t xml:space="preserve">6. Before the interview: attempt sheet 20_Interview_Qs from memory. Answers in 99_Solutions.</t>
  </si>
  <si>
    <t xml:space="preserve">  ROADMAP</t>
  </si>
  <si>
    <t xml:space="preserve">Sheet</t>
  </si>
  <si>
    <t xml:space="preserve">What it covers</t>
  </si>
  <si>
    <t xml:space="preserve">00_README</t>
  </si>
  <si>
    <t xml:space="preserve">You are here</t>
  </si>
  <si>
    <t xml:space="preserve">01_Foundations</t>
  </si>
  <si>
    <t xml:space="preserve">Zero-knowledge primer: cells, references, 10 core formulas</t>
  </si>
  <si>
    <t xml:space="preserve">02_Stores</t>
  </si>
  <si>
    <t xml:space="preserve">30 Rapport stores</t>
  </si>
  <si>
    <t xml:space="preserve">03_Assets</t>
  </si>
  <si>
    <t xml:space="preserve">~190 assets across those stores</t>
  </si>
  <si>
    <t xml:space="preserve">04_Providers</t>
  </si>
  <si>
    <t xml:space="preserve">8 service providers</t>
  </si>
  <si>
    <t xml:space="preserve">05_Employees</t>
  </si>
  <si>
    <t xml:space="preserve">12 FM team members</t>
  </si>
  <si>
    <t xml:space="preserve">06_Tickets</t>
  </si>
  <si>
    <t xml:space="preserve">220 maintenance tickets — the main analysis dataset</t>
  </si>
  <si>
    <t xml:space="preserve">07_MessyData</t>
  </si>
  <si>
    <t xml:space="preserve">Deliberately unclean ticket export — used in Power Query</t>
  </si>
  <si>
    <t xml:space="preserve">10_PivotTables</t>
  </si>
  <si>
    <t xml:space="preserve">Summarise tickets by region, priority, provider, month</t>
  </si>
  <si>
    <t xml:space="preserve">11_VLOOKUP_XLOOKUP</t>
  </si>
  <si>
    <t xml:space="preserve">Join tickets to stores / providers / assets — the #1 analyst skill</t>
  </si>
  <si>
    <t xml:space="preserve">12_Dashboards</t>
  </si>
  <si>
    <t xml:space="preserve">Build a one-page FM KPI dashboard</t>
  </si>
  <si>
    <t xml:space="preserve">13_PowerQuery</t>
  </si>
  <si>
    <t xml:space="preserve">Clean 07_MessyData into a refreshable query</t>
  </si>
  <si>
    <t xml:space="preserve">14_PowerBI</t>
  </si>
  <si>
    <t xml:space="preserve">Publish the workbook to Power BI — step-by-step</t>
  </si>
  <si>
    <t xml:space="preserve">20_Interview_Qs</t>
  </si>
  <si>
    <t xml:space="preserve">15 Excel interview questions (data analyst / project coordinator)</t>
  </si>
  <si>
    <t xml:space="preserve">99_Solutions</t>
  </si>
  <si>
    <t xml:space="preserve">Worked answers — review AFTER you attempt</t>
  </si>
  <si>
    <t xml:space="preserve">  RECOMMENDED 7-DAY PLAN</t>
  </si>
  <si>
    <t xml:space="preserve">Day</t>
  </si>
  <si>
    <t xml:space="preserve">Focus</t>
  </si>
  <si>
    <t xml:space="preserve">Day 1</t>
  </si>
  <si>
    <t xml:space="preserve">Read 01_Foundations. Explore Stores / Assets / Tickets — sort, filter, autofill.</t>
  </si>
  <si>
    <t xml:space="preserve">Day 2</t>
  </si>
  <si>
    <t xml:space="preserve">Work through 10_PivotTables. Build 5 different pivot views of the tickets.</t>
  </si>
  <si>
    <t xml:space="preserve">Day 3</t>
  </si>
  <si>
    <t xml:space="preserve">Work through 11_VLOOKUP_XLOOKUP. Join tickets to stores and providers.</t>
  </si>
  <si>
    <t xml:space="preserve">Day 4</t>
  </si>
  <si>
    <t xml:space="preserve">Build 12_Dashboards — 4 KPI cards + 2 charts.</t>
  </si>
  <si>
    <t xml:space="preserve">Day 5</t>
  </si>
  <si>
    <t xml:space="preserve">Follow 13_PowerQuery — import messy data, clean it, load the result.</t>
  </si>
  <si>
    <t xml:space="preserve">Day 6</t>
  </si>
  <si>
    <t xml:space="preserve">Read 14_PowerBI twice. If possible, install Power BI Desktop (free) and try it.</t>
  </si>
  <si>
    <t xml:space="preserve">Day 7</t>
  </si>
  <si>
    <t xml:space="preserve">Answer 20_Interview_Qs from memory. Re-do anything that felt shaky.</t>
  </si>
  <si>
    <t xml:space="preserve">TIP · Open this in Excel DESKTOP (not just Excel for Web). Power Query, advanced pivots, and refreshable queries are desktop-only features.</t>
  </si>
  <si>
    <t xml:space="preserve">WHY THIS MATTERS AT RAPPORT · Every exercise mirrors a real task from the Senior Project Coordinator job ad: maintaining trackers, reporting on service providers, verifying assets across stores, producing structured reports. When you interview, you can reference this workbook as a portfolio piece.</t>
  </si>
  <si>
    <t xml:space="preserve">01 · FOUNDATIONS — the absolute basics</t>
  </si>
  <si>
    <t xml:space="preserve">If you already know cells, references, and basic formulas, skim this and jump to sheet 10.</t>
  </si>
  <si>
    <t xml:space="preserve">  CELLS &amp; REFERENCES</t>
  </si>
  <si>
    <t xml:space="preserve">• A cell is the intersection of a column (letter) and a row (number). B3 = column B, row 3.</t>
  </si>
  <si>
    <t xml:space="preserve">• A formula starts with = . Example: in B3, =A1+A2 adds A1 and A2 and shows the result.</t>
  </si>
  <si>
    <t xml:space="preserve">• Relative reference (A1): changes when you copy the formula down/across.</t>
  </si>
  <si>
    <t xml:space="preserve">• Absolute reference ($A$1): stays fixed. Press F4 (Windows) while editing to toggle $.</t>
  </si>
  <si>
    <t xml:space="preserve">• Mixed reference ($A1 or A$1): one part locked, the other relative.</t>
  </si>
  <si>
    <t xml:space="preserve">• Range: A1:A10 means A1 through A10. Ranges are what you feed into SUM, AVERAGE, etc.</t>
  </si>
  <si>
    <t xml:space="preserve">  TEN CORE FORMULAS — memorise these</t>
  </si>
  <si>
    <t xml:space="preserve">Function</t>
  </si>
  <si>
    <t xml:space="preserve">Example</t>
  </si>
  <si>
    <t xml:space="preserve">What it does</t>
  </si>
  <si>
    <t xml:space="preserve">SUM</t>
  </si>
  <si>
    <t xml:space="preserve">Adds all values</t>
  </si>
  <si>
    <t xml:space="preserve">AVERAGE</t>
  </si>
  <si>
    <t xml:space="preserve"> =AVERAGE(B2:B20)</t>
  </si>
  <si>
    <t xml:space="preserve">Arithmetic mean</t>
  </si>
  <si>
    <t xml:space="preserve">COUNT</t>
  </si>
  <si>
    <t xml:space="preserve">Counts numeric cells</t>
  </si>
  <si>
    <t xml:space="preserve">COUNTA</t>
  </si>
  <si>
    <t xml:space="preserve">Counts any non-empty cells</t>
  </si>
  <si>
    <t xml:space="preserve">COUNTIF</t>
  </si>
  <si>
    <t xml:space="preserve">Counts cells meeting a condition</t>
  </si>
  <si>
    <t xml:space="preserve">SUMIF</t>
  </si>
  <si>
    <t xml:space="preserve">Sum D where C is 'Closed'</t>
  </si>
  <si>
    <t xml:space="preserve">SUMIFS</t>
  </si>
  <si>
    <t xml:space="preserve">Sum with multiple conditions</t>
  </si>
  <si>
    <t xml:space="preserve">IF</t>
  </si>
  <si>
    <t xml:space="preserve">One-of-two logic</t>
  </si>
  <si>
    <t xml:space="preserve">IFS</t>
  </si>
  <si>
    <t xml:space="preserve"> =ifs(A1&gt;90,"A",A1&gt;80,"B",A1&gt;70,"C",TRUE(),"F")</t>
  </si>
  <si>
    <t xml:space="preserve">Multi-branch IF (modern)</t>
  </si>
  <si>
    <t xml:space="preserve">TEXT</t>
  </si>
  <si>
    <t xml:space="preserve">Format numbers/dates as text</t>
  </si>
  <si>
    <t xml:space="preserve">  TRY IT — write the formula in the yellow cells</t>
  </si>
  <si>
    <t xml:space="preserve">Sample numbers are in column H. Answers in 99_Solutions.</t>
  </si>
  <si>
    <t xml:space="preserve">#</t>
  </si>
  <si>
    <t xml:space="preserve">Task</t>
  </si>
  <si>
    <t xml:space="preserve">Your formula (write here)</t>
  </si>
  <si>
    <t xml:space="preserve">Num</t>
  </si>
  <si>
    <t xml:space="preserve">Status</t>
  </si>
  <si>
    <t xml:space="preserve">1</t>
  </si>
  <si>
    <t xml:space="preserve">Sum of H2:H8 (the numbers column)</t>
  </si>
  <si>
    <t xml:space="preserve">Open</t>
  </si>
  <si>
    <t xml:space="preserve">2</t>
  </si>
  <si>
    <t xml:space="preserve">Count how many "Closed" in I2:I8</t>
  </si>
  <si>
    <t xml:space="preserve">Closed</t>
  </si>
  <si>
    <t xml:space="preserve">3</t>
  </si>
  <si>
    <t xml:space="preserve">Average of H2:H8</t>
  </si>
  <si>
    <t xml:space="preserve">4</t>
  </si>
  <si>
    <t xml:space="preserve">IF the sum is greater than 500, return 'Big', else 'Small'</t>
  </si>
  <si>
    <t xml:space="preserve">In Progress</t>
  </si>
  <si>
    <t xml:space="preserve">5</t>
  </si>
  <si>
    <t xml:space="preserve">The current date, formatted as DD-MMM-YYYY</t>
  </si>
  <si>
    <t xml:space="preserve">  KEYBOARD SHORTCUTS (learn these — they save hours)</t>
  </si>
  <si>
    <t xml:space="preserve">Shortcut</t>
  </si>
  <si>
    <t xml:space="preserve">Ctrl + C / Ctrl + V</t>
  </si>
  <si>
    <t xml:space="preserve">Copy / Paste</t>
  </si>
  <si>
    <t xml:space="preserve">Ctrl + Z / Ctrl + Y</t>
  </si>
  <si>
    <t xml:space="preserve">Undo / Redo</t>
  </si>
  <si>
    <t xml:space="preserve">Ctrl + Arrow</t>
  </si>
  <si>
    <t xml:space="preserve">Jump to edge of data</t>
  </si>
  <si>
    <t xml:space="preserve">Ctrl + Shift + Arrow</t>
  </si>
  <si>
    <t xml:space="preserve">Select from here to edge</t>
  </si>
  <si>
    <t xml:space="preserve">Ctrl + T</t>
  </si>
  <si>
    <t xml:space="preserve">Turn a range into an Excel Table (do this always)</t>
  </si>
  <si>
    <t xml:space="preserve">Ctrl + Shift + L</t>
  </si>
  <si>
    <t xml:space="preserve">Toggle filters</t>
  </si>
  <si>
    <t xml:space="preserve">F4 (while editing)</t>
  </si>
  <si>
    <t xml:space="preserve">Toggle absolute / relative reference</t>
  </si>
  <si>
    <t xml:space="preserve">Alt + = </t>
  </si>
  <si>
    <t xml:space="preserve">Auto-sum</t>
  </si>
  <si>
    <t xml:space="preserve">Ctrl + ;</t>
  </si>
  <si>
    <t xml:space="preserve">Insert today's date</t>
  </si>
  <si>
    <t xml:space="preserve">Ctrl + 1</t>
  </si>
  <si>
    <t xml:space="preserve">Format cells dialog</t>
  </si>
  <si>
    <t xml:space="preserve">Ctrl + Shift + $ / % / #</t>
  </si>
  <si>
    <t xml:space="preserve">Currency / Percentage / Date format</t>
  </si>
  <si>
    <t xml:space="preserve">Alt + N + V</t>
  </si>
  <si>
    <t xml:space="preserve">Insert PivotTable</t>
  </si>
  <si>
    <t xml:space="preserve">02 · STORES (reference table, 30 rows)</t>
  </si>
  <si>
    <t xml:space="preserve">StoreID</t>
  </si>
  <si>
    <t xml:space="preserve">StoreName</t>
  </si>
  <si>
    <t xml:space="preserve">Region</t>
  </si>
  <si>
    <t xml:space="preserve">City</t>
  </si>
  <si>
    <t xml:space="preserve">Format</t>
  </si>
  <si>
    <t xml:space="preserve">SqFt</t>
  </si>
  <si>
    <t xml:space="preserve">OpenDate</t>
  </si>
  <si>
    <t xml:space="preserve">FM_Manager_ID</t>
  </si>
  <si>
    <t xml:space="preserve">ST1001</t>
  </si>
  <si>
    <t xml:space="preserve">Rapport Glasgow Shopping Centre</t>
  </si>
  <si>
    <t xml:space="preserve">Scotland</t>
  </si>
  <si>
    <t xml:space="preserve">Glasgow</t>
  </si>
  <si>
    <t xml:space="preserve">Shopping Centre</t>
  </si>
  <si>
    <t xml:space="preserve">EMP108</t>
  </si>
  <si>
    <t xml:space="preserve">ST1002</t>
  </si>
  <si>
    <t xml:space="preserve">Rapport Cambridge Outlet</t>
  </si>
  <si>
    <t xml:space="preserve">East</t>
  </si>
  <si>
    <t xml:space="preserve">Cambridge</t>
  </si>
  <si>
    <t xml:space="preserve">Outlet</t>
  </si>
  <si>
    <t xml:space="preserve">ST1003</t>
  </si>
  <si>
    <t xml:space="preserve">Rapport London Outlet</t>
  </si>
  <si>
    <t xml:space="preserve">South</t>
  </si>
  <si>
    <t xml:space="preserve">London</t>
  </si>
  <si>
    <t xml:space="preserve">EMP105</t>
  </si>
  <si>
    <t xml:space="preserve">ST1004</t>
  </si>
  <si>
    <t xml:space="preserve">Rapport Reading High Street</t>
  </si>
  <si>
    <t xml:space="preserve">Reading</t>
  </si>
  <si>
    <t xml:space="preserve">High Street</t>
  </si>
  <si>
    <t xml:space="preserve">EMP101</t>
  </si>
  <si>
    <t xml:space="preserve">ST1005</t>
  </si>
  <si>
    <t xml:space="preserve">Rapport London Shopping Centre</t>
  </si>
  <si>
    <t xml:space="preserve">EMP107</t>
  </si>
  <si>
    <t xml:space="preserve">ST1006</t>
  </si>
  <si>
    <t xml:space="preserve">Rapport Reading Flagship</t>
  </si>
  <si>
    <t xml:space="preserve">Flagship</t>
  </si>
  <si>
    <t xml:space="preserve">EMP109</t>
  </si>
  <si>
    <t xml:space="preserve">ST1007</t>
  </si>
  <si>
    <t xml:space="preserve">Rapport Sheffield Retail Park</t>
  </si>
  <si>
    <t xml:space="preserve">North</t>
  </si>
  <si>
    <t xml:space="preserve">Sheffield</t>
  </si>
  <si>
    <t xml:space="preserve">Retail Park</t>
  </si>
  <si>
    <t xml:space="preserve">ST1008</t>
  </si>
  <si>
    <t xml:space="preserve">Rapport Oxford Shopping Centre</t>
  </si>
  <si>
    <t xml:space="preserve">Oxford</t>
  </si>
  <si>
    <t xml:space="preserve">EMP112</t>
  </si>
  <si>
    <t xml:space="preserve">ST1009</t>
  </si>
  <si>
    <t xml:space="preserve">Rapport Cardiff Flagship</t>
  </si>
  <si>
    <t xml:space="preserve">West</t>
  </si>
  <si>
    <t xml:space="preserve">Cardiff</t>
  </si>
  <si>
    <t xml:space="preserve">ST1010</t>
  </si>
  <si>
    <t xml:space="preserve">EMP110</t>
  </si>
  <si>
    <t xml:space="preserve">ST1011</t>
  </si>
  <si>
    <t xml:space="preserve">Rapport Norwich Shopping Centre</t>
  </si>
  <si>
    <t xml:space="preserve">Norwich</t>
  </si>
  <si>
    <t xml:space="preserve">EMP104</t>
  </si>
  <si>
    <t xml:space="preserve">ST1012</t>
  </si>
  <si>
    <t xml:space="preserve">Rapport Reading Outlet</t>
  </si>
  <si>
    <t xml:space="preserve">ST1013</t>
  </si>
  <si>
    <t xml:space="preserve">Rapport Aberdeen Retail Park</t>
  </si>
  <si>
    <t xml:space="preserve">Aberdeen</t>
  </si>
  <si>
    <t xml:space="preserve">EMP102</t>
  </si>
  <si>
    <t xml:space="preserve">ST1014</t>
  </si>
  <si>
    <t xml:space="preserve">Rapport Liverpool Shopping Centre</t>
  </si>
  <si>
    <t xml:space="preserve">Liverpool</t>
  </si>
  <si>
    <t xml:space="preserve">ST1015</t>
  </si>
  <si>
    <t xml:space="preserve">ST1016</t>
  </si>
  <si>
    <t xml:space="preserve">Rapport York Shopping Centre</t>
  </si>
  <si>
    <t xml:space="preserve">York</t>
  </si>
  <si>
    <t xml:space="preserve">ST1017</t>
  </si>
  <si>
    <t xml:space="preserve">Rapport London High Street</t>
  </si>
  <si>
    <t xml:space="preserve">ST1018</t>
  </si>
  <si>
    <t xml:space="preserve">Rapport Newcastle Shopping Centre</t>
  </si>
  <si>
    <t xml:space="preserve">Newcastle</t>
  </si>
  <si>
    <t xml:space="preserve">ST1019</t>
  </si>
  <si>
    <t xml:space="preserve">Rapport Plymouth Flagship</t>
  </si>
  <si>
    <t xml:space="preserve">Plymouth</t>
  </si>
  <si>
    <t xml:space="preserve">ST1020</t>
  </si>
  <si>
    <t xml:space="preserve">Rapport Bristol Outlet</t>
  </si>
  <si>
    <t xml:space="preserve">Bristol</t>
  </si>
  <si>
    <t xml:space="preserve">EMP106</t>
  </si>
  <si>
    <t xml:space="preserve">ST1021</t>
  </si>
  <si>
    <t xml:space="preserve">ST1022</t>
  </si>
  <si>
    <t xml:space="preserve">Rapport Oxford Retail Park</t>
  </si>
  <si>
    <t xml:space="preserve">ST1023</t>
  </si>
  <si>
    <t xml:space="preserve">Rapport Nottingham Outlet</t>
  </si>
  <si>
    <t xml:space="preserve">Midlands</t>
  </si>
  <si>
    <t xml:space="preserve">Nottingham</t>
  </si>
  <si>
    <t xml:space="preserve">EMP103</t>
  </si>
  <si>
    <t xml:space="preserve">ST1024</t>
  </si>
  <si>
    <t xml:space="preserve">Rapport Leicester Shopping Centre</t>
  </si>
  <si>
    <t xml:space="preserve">Leicester</t>
  </si>
  <si>
    <t xml:space="preserve">ST1025</t>
  </si>
  <si>
    <t xml:space="preserve">Rapport Manchester Flagship</t>
  </si>
  <si>
    <t xml:space="preserve">Manchester</t>
  </si>
  <si>
    <t xml:space="preserve">ST1026</t>
  </si>
  <si>
    <t xml:space="preserve">ST1027</t>
  </si>
  <si>
    <t xml:space="preserve">Rapport Liverpool High Street</t>
  </si>
  <si>
    <t xml:space="preserve">ST1028</t>
  </si>
  <si>
    <t xml:space="preserve">Rapport Coventry Retail Park</t>
  </si>
  <si>
    <t xml:space="preserve">Coventry</t>
  </si>
  <si>
    <t xml:space="preserve">ST1029</t>
  </si>
  <si>
    <t xml:space="preserve">Rapport London Retail Park</t>
  </si>
  <si>
    <t xml:space="preserve">ST1030</t>
  </si>
  <si>
    <t xml:space="preserve">Rapport Edinburgh Flagship</t>
  </si>
  <si>
    <t xml:space="preserve">Edinburgh</t>
  </si>
  <si>
    <t xml:space="preserve">03 · ASSETS (one row per physical asset)</t>
  </si>
  <si>
    <t xml:space="preserve">AssetID</t>
  </si>
  <si>
    <t xml:space="preserve">Category</t>
  </si>
  <si>
    <t xml:space="preserve">AssetType</t>
  </si>
  <si>
    <t xml:space="preserve">InstallDate</t>
  </si>
  <si>
    <t xml:space="preserve">WarrantyEnd</t>
  </si>
  <si>
    <t xml:space="preserve">Cost_GBP</t>
  </si>
  <si>
    <t xml:space="preserve">AS5001</t>
  </si>
  <si>
    <t xml:space="preserve">Plumbing</t>
  </si>
  <si>
    <t xml:space="preserve">Water Heater</t>
  </si>
  <si>
    <t xml:space="preserve">Active</t>
  </si>
  <si>
    <t xml:space="preserve">AS5002</t>
  </si>
  <si>
    <t xml:space="preserve">IT Equipment</t>
  </si>
  <si>
    <t xml:space="preserve">Back Office PC</t>
  </si>
  <si>
    <t xml:space="preserve">AS5003</t>
  </si>
  <si>
    <t xml:space="preserve">Refrigeration</t>
  </si>
  <si>
    <t xml:space="preserve">Chiller Cabinet</t>
  </si>
  <si>
    <t xml:space="preserve">AS5004</t>
  </si>
  <si>
    <t xml:space="preserve">Security</t>
  </si>
  <si>
    <t xml:space="preserve">CCTV Camera</t>
  </si>
  <si>
    <t xml:space="preserve">Decommissioned</t>
  </si>
  <si>
    <t xml:space="preserve">AS5005</t>
  </si>
  <si>
    <t xml:space="preserve">Lighting</t>
  </si>
  <si>
    <t xml:space="preserve">Display Spotlight</t>
  </si>
  <si>
    <t xml:space="preserve">AS5006</t>
  </si>
  <si>
    <t xml:space="preserve">AS5007</t>
  </si>
  <si>
    <t xml:space="preserve">WC Cistern</t>
  </si>
  <si>
    <t xml:space="preserve">AS5008</t>
  </si>
  <si>
    <t xml:space="preserve">AS5009</t>
  </si>
  <si>
    <t xml:space="preserve">AS5010</t>
  </si>
  <si>
    <t xml:space="preserve">Emergency Light</t>
  </si>
  <si>
    <t xml:space="preserve">AS5011</t>
  </si>
  <si>
    <t xml:space="preserve">AS5012</t>
  </si>
  <si>
    <t xml:space="preserve">LED Panel</t>
  </si>
  <si>
    <t xml:space="preserve">AS5013</t>
  </si>
  <si>
    <t xml:space="preserve">Flooring</t>
  </si>
  <si>
    <t xml:space="preserve">Vinyl Panel</t>
  </si>
  <si>
    <t xml:space="preserve">AS5014</t>
  </si>
  <si>
    <t xml:space="preserve">AS5015</t>
  </si>
  <si>
    <t xml:space="preserve">AS5016</t>
  </si>
  <si>
    <t xml:space="preserve">AS5017</t>
  </si>
  <si>
    <t xml:space="preserve">HVAC</t>
  </si>
  <si>
    <t xml:space="preserve">Boiler</t>
  </si>
  <si>
    <t xml:space="preserve">AS5018</t>
  </si>
  <si>
    <t xml:space="preserve">AS5019</t>
  </si>
  <si>
    <t xml:space="preserve">Display Fridge</t>
  </si>
  <si>
    <t xml:space="preserve">AS5020</t>
  </si>
  <si>
    <t xml:space="preserve">Access Reader</t>
  </si>
  <si>
    <t xml:space="preserve">AS5021</t>
  </si>
  <si>
    <t xml:space="preserve">AS5022</t>
  </si>
  <si>
    <t xml:space="preserve">Wi-Fi Router</t>
  </si>
  <si>
    <t xml:space="preserve">AS5023</t>
  </si>
  <si>
    <t xml:space="preserve">Sink Unit</t>
  </si>
  <si>
    <t xml:space="preserve">AS5024</t>
  </si>
  <si>
    <t xml:space="preserve">Walk-in Freezer</t>
  </si>
  <si>
    <t xml:space="preserve">AS5025</t>
  </si>
  <si>
    <t xml:space="preserve">Under Service</t>
  </si>
  <si>
    <t xml:space="preserve">AS5026</t>
  </si>
  <si>
    <t xml:space="preserve">AS5027</t>
  </si>
  <si>
    <t xml:space="preserve">Alarm Panel</t>
  </si>
  <si>
    <t xml:space="preserve">AS5028</t>
  </si>
  <si>
    <t xml:space="preserve">Fire Safety</t>
  </si>
  <si>
    <t xml:space="preserve">Smoke Detector</t>
  </si>
  <si>
    <t xml:space="preserve">AS5029</t>
  </si>
  <si>
    <t xml:space="preserve">AS5030</t>
  </si>
  <si>
    <t xml:space="preserve">Sprinkler Head</t>
  </si>
  <si>
    <t xml:space="preserve">AS5031</t>
  </si>
  <si>
    <t xml:space="preserve">Heat Pump</t>
  </si>
  <si>
    <t xml:space="preserve">AS5032</t>
  </si>
  <si>
    <t xml:space="preserve">Ventilation Fan</t>
  </si>
  <si>
    <t xml:space="preserve">AS5033</t>
  </si>
  <si>
    <t xml:space="preserve">AS5034</t>
  </si>
  <si>
    <t xml:space="preserve">AS5035</t>
  </si>
  <si>
    <t xml:space="preserve">AS5036</t>
  </si>
  <si>
    <t xml:space="preserve">Extinguisher</t>
  </si>
  <si>
    <t xml:space="preserve">AS5037</t>
  </si>
  <si>
    <t xml:space="preserve">AS5038</t>
  </si>
  <si>
    <t xml:space="preserve">AS5039</t>
  </si>
  <si>
    <t xml:space="preserve">AS5040</t>
  </si>
  <si>
    <t xml:space="preserve">AS5041</t>
  </si>
  <si>
    <t xml:space="preserve">AS5042</t>
  </si>
  <si>
    <t xml:space="preserve">AS5043</t>
  </si>
  <si>
    <t xml:space="preserve">AS5044</t>
  </si>
  <si>
    <t xml:space="preserve">AS5045</t>
  </si>
  <si>
    <t xml:space="preserve">POS Terminal</t>
  </si>
  <si>
    <t xml:space="preserve">AS5046</t>
  </si>
  <si>
    <t xml:space="preserve">AS5047</t>
  </si>
  <si>
    <t xml:space="preserve">AS5048</t>
  </si>
  <si>
    <t xml:space="preserve">AS5049</t>
  </si>
  <si>
    <t xml:space="preserve">Air Con Unit</t>
  </si>
  <si>
    <t xml:space="preserve">AS5050</t>
  </si>
  <si>
    <t xml:space="preserve">AS5051</t>
  </si>
  <si>
    <t xml:space="preserve">AS5052</t>
  </si>
  <si>
    <t xml:space="preserve">AS5053</t>
  </si>
  <si>
    <t xml:space="preserve">AS5054</t>
  </si>
  <si>
    <t xml:space="preserve">AS5055</t>
  </si>
  <si>
    <t xml:space="preserve">AS5056</t>
  </si>
  <si>
    <t xml:space="preserve">AS5057</t>
  </si>
  <si>
    <t xml:space="preserve">AS5058</t>
  </si>
  <si>
    <t xml:space="preserve">AS5059</t>
  </si>
  <si>
    <t xml:space="preserve">AS5060</t>
  </si>
  <si>
    <t xml:space="preserve">AS5061</t>
  </si>
  <si>
    <t xml:space="preserve">AS5062</t>
  </si>
  <si>
    <t xml:space="preserve">AS5063</t>
  </si>
  <si>
    <t xml:space="preserve">AS5064</t>
  </si>
  <si>
    <t xml:space="preserve">AS5065</t>
  </si>
  <si>
    <t xml:space="preserve">AS5066</t>
  </si>
  <si>
    <t xml:space="preserve">AS5067</t>
  </si>
  <si>
    <t xml:space="preserve">AS5068</t>
  </si>
  <si>
    <t xml:space="preserve">AS5069</t>
  </si>
  <si>
    <t xml:space="preserve">Entrance Mat</t>
  </si>
  <si>
    <t xml:space="preserve">AS5070</t>
  </si>
  <si>
    <t xml:space="preserve">AS5071</t>
  </si>
  <si>
    <t xml:space="preserve">AS5072</t>
  </si>
  <si>
    <t xml:space="preserve">AS5073</t>
  </si>
  <si>
    <t xml:space="preserve">AS5074</t>
  </si>
  <si>
    <t xml:space="preserve">AS5075</t>
  </si>
  <si>
    <t xml:space="preserve">AS5076</t>
  </si>
  <si>
    <t xml:space="preserve">AS5077</t>
  </si>
  <si>
    <t xml:space="preserve">AS5078</t>
  </si>
  <si>
    <t xml:space="preserve">AS5079</t>
  </si>
  <si>
    <t xml:space="preserve">AS5080</t>
  </si>
  <si>
    <t xml:space="preserve">AS5081</t>
  </si>
  <si>
    <t xml:space="preserve">AS5082</t>
  </si>
  <si>
    <t xml:space="preserve">AS5083</t>
  </si>
  <si>
    <t xml:space="preserve">AS5084</t>
  </si>
  <si>
    <t xml:space="preserve">AS5085</t>
  </si>
  <si>
    <t xml:space="preserve">AS5086</t>
  </si>
  <si>
    <t xml:space="preserve">AS5087</t>
  </si>
  <si>
    <t xml:space="preserve">AS5088</t>
  </si>
  <si>
    <t xml:space="preserve">AS5089</t>
  </si>
  <si>
    <t xml:space="preserve">AS5090</t>
  </si>
  <si>
    <t xml:space="preserve">AS5091</t>
  </si>
  <si>
    <t xml:space="preserve">AS5092</t>
  </si>
  <si>
    <t xml:space="preserve">AS5093</t>
  </si>
  <si>
    <t xml:space="preserve">AS5094</t>
  </si>
  <si>
    <t xml:space="preserve">AS5095</t>
  </si>
  <si>
    <t xml:space="preserve">AS5096</t>
  </si>
  <si>
    <t xml:space="preserve">AS5097</t>
  </si>
  <si>
    <t xml:space="preserve">AS5098</t>
  </si>
  <si>
    <t xml:space="preserve">AS5099</t>
  </si>
  <si>
    <t xml:space="preserve">AS5100</t>
  </si>
  <si>
    <t xml:space="preserve">AS5101</t>
  </si>
  <si>
    <t xml:space="preserve">AS5102</t>
  </si>
  <si>
    <t xml:space="preserve">AS5103</t>
  </si>
  <si>
    <t xml:space="preserve">AS5104</t>
  </si>
  <si>
    <t xml:space="preserve">AS5105</t>
  </si>
  <si>
    <t xml:space="preserve">AS5106</t>
  </si>
  <si>
    <t xml:space="preserve">AS5107</t>
  </si>
  <si>
    <t xml:space="preserve">AS5108</t>
  </si>
  <si>
    <t xml:space="preserve">AS5109</t>
  </si>
  <si>
    <t xml:space="preserve">AS5110</t>
  </si>
  <si>
    <t xml:space="preserve">AS5111</t>
  </si>
  <si>
    <t xml:space="preserve">AS5112</t>
  </si>
  <si>
    <t xml:space="preserve">AS5113</t>
  </si>
  <si>
    <t xml:space="preserve">AS5114</t>
  </si>
  <si>
    <t xml:space="preserve">AS5115</t>
  </si>
  <si>
    <t xml:space="preserve">AS5116</t>
  </si>
  <si>
    <t xml:space="preserve">AS5117</t>
  </si>
  <si>
    <t xml:space="preserve">AS5118</t>
  </si>
  <si>
    <t xml:space="preserve">AS5119</t>
  </si>
  <si>
    <t xml:space="preserve">AS5120</t>
  </si>
  <si>
    <t xml:space="preserve">AS5121</t>
  </si>
  <si>
    <t xml:space="preserve">AS5122</t>
  </si>
  <si>
    <t xml:space="preserve">AS5123</t>
  </si>
  <si>
    <t xml:space="preserve">AS5124</t>
  </si>
  <si>
    <t xml:space="preserve">AS5125</t>
  </si>
  <si>
    <t xml:space="preserve">AS5126</t>
  </si>
  <si>
    <t xml:space="preserve">AS5127</t>
  </si>
  <si>
    <t xml:space="preserve">AS5128</t>
  </si>
  <si>
    <t xml:space="preserve">AS5129</t>
  </si>
  <si>
    <t xml:space="preserve">AS5130</t>
  </si>
  <si>
    <t xml:space="preserve">AS5131</t>
  </si>
  <si>
    <t xml:space="preserve">AS5132</t>
  </si>
  <si>
    <t xml:space="preserve">AS5133</t>
  </si>
  <si>
    <t xml:space="preserve">AS5134</t>
  </si>
  <si>
    <t xml:space="preserve">AS5135</t>
  </si>
  <si>
    <t xml:space="preserve">AS5136</t>
  </si>
  <si>
    <t xml:space="preserve">AS5137</t>
  </si>
  <si>
    <t xml:space="preserve">AS5138</t>
  </si>
  <si>
    <t xml:space="preserve">AS5139</t>
  </si>
  <si>
    <t xml:space="preserve">AS5140</t>
  </si>
  <si>
    <t xml:space="preserve">AS5141</t>
  </si>
  <si>
    <t xml:space="preserve">AS5142</t>
  </si>
  <si>
    <t xml:space="preserve">AS5143</t>
  </si>
  <si>
    <t xml:space="preserve">AS5144</t>
  </si>
  <si>
    <t xml:space="preserve">AS5145</t>
  </si>
  <si>
    <t xml:space="preserve">AS5146</t>
  </si>
  <si>
    <t xml:space="preserve">AS5147</t>
  </si>
  <si>
    <t xml:space="preserve">AS5148</t>
  </si>
  <si>
    <t xml:space="preserve">AS5149</t>
  </si>
  <si>
    <t xml:space="preserve">AS5150</t>
  </si>
  <si>
    <t xml:space="preserve">AS5151</t>
  </si>
  <si>
    <t xml:space="preserve">AS5152</t>
  </si>
  <si>
    <t xml:space="preserve">AS5153</t>
  </si>
  <si>
    <t xml:space="preserve">AS5154</t>
  </si>
  <si>
    <t xml:space="preserve">AS5155</t>
  </si>
  <si>
    <t xml:space="preserve">AS5156</t>
  </si>
  <si>
    <t xml:space="preserve">AS5157</t>
  </si>
  <si>
    <t xml:space="preserve">AS5158</t>
  </si>
  <si>
    <t xml:space="preserve">AS5159</t>
  </si>
  <si>
    <t xml:space="preserve">AS5160</t>
  </si>
  <si>
    <t xml:space="preserve">AS5161</t>
  </si>
  <si>
    <t xml:space="preserve">AS5162</t>
  </si>
  <si>
    <t xml:space="preserve">AS5163</t>
  </si>
  <si>
    <t xml:space="preserve">AS5164</t>
  </si>
  <si>
    <t xml:space="preserve">AS5165</t>
  </si>
  <si>
    <t xml:space="preserve">AS5166</t>
  </si>
  <si>
    <t xml:space="preserve">AS5167</t>
  </si>
  <si>
    <t xml:space="preserve">AS5168</t>
  </si>
  <si>
    <t xml:space="preserve">AS5169</t>
  </si>
  <si>
    <t xml:space="preserve">AS5170</t>
  </si>
  <si>
    <t xml:space="preserve">AS5171</t>
  </si>
  <si>
    <t xml:space="preserve">AS5172</t>
  </si>
  <si>
    <t xml:space="preserve">AS5173</t>
  </si>
  <si>
    <t xml:space="preserve">AS5174</t>
  </si>
  <si>
    <t xml:space="preserve">AS5175</t>
  </si>
  <si>
    <t xml:space="preserve">AS5176</t>
  </si>
  <si>
    <t xml:space="preserve">AS5177</t>
  </si>
  <si>
    <t xml:space="preserve">AS5178</t>
  </si>
  <si>
    <t xml:space="preserve">AS5179</t>
  </si>
  <si>
    <t xml:space="preserve">AS5180</t>
  </si>
  <si>
    <t xml:space="preserve">AS5181</t>
  </si>
  <si>
    <t xml:space="preserve">AS5182</t>
  </si>
  <si>
    <t xml:space="preserve">AS5183</t>
  </si>
  <si>
    <t xml:space="preserve">AS5184</t>
  </si>
  <si>
    <t xml:space="preserve">AS5185</t>
  </si>
  <si>
    <t xml:space="preserve">AS5186</t>
  </si>
  <si>
    <t xml:space="preserve">AS5187</t>
  </si>
  <si>
    <t xml:space="preserve">AS5188</t>
  </si>
  <si>
    <t xml:space="preserve">AS5189</t>
  </si>
  <si>
    <t xml:space="preserve">AS5190</t>
  </si>
  <si>
    <t xml:space="preserve">AS5191</t>
  </si>
  <si>
    <t xml:space="preserve">AS5192</t>
  </si>
  <si>
    <t xml:space="preserve">AS5193</t>
  </si>
  <si>
    <t xml:space="preserve">AS5194</t>
  </si>
  <si>
    <t xml:space="preserve">AS5195</t>
  </si>
  <si>
    <t xml:space="preserve">AS5196</t>
  </si>
  <si>
    <t xml:space="preserve">AS5197</t>
  </si>
  <si>
    <t xml:space="preserve">AS5198</t>
  </si>
  <si>
    <t xml:space="preserve">AS5199</t>
  </si>
  <si>
    <t xml:space="preserve">AS5200</t>
  </si>
  <si>
    <t xml:space="preserve">AS5201</t>
  </si>
  <si>
    <t xml:space="preserve">AS5202</t>
  </si>
  <si>
    <t xml:space="preserve">04 · SERVICE PROVIDERS (8 contractors)</t>
  </si>
  <si>
    <t xml:space="preserve">ProviderID</t>
  </si>
  <si>
    <t xml:space="preserve">ProviderName</t>
  </si>
  <si>
    <t xml:space="preserve">Service</t>
  </si>
  <si>
    <t xml:space="preserve">Rating</t>
  </si>
  <si>
    <t xml:space="preserve">AnnualContract_GBP</t>
  </si>
  <si>
    <t xml:space="preserve">ContractStart</t>
  </si>
  <si>
    <t xml:space="preserve">ContractEnd</t>
  </si>
  <si>
    <t xml:space="preserve">PRV201</t>
  </si>
  <si>
    <t xml:space="preserve">Mercury Facilities Ltd</t>
  </si>
  <si>
    <t xml:space="preserve">PRV202</t>
  </si>
  <si>
    <t xml:space="preserve">Brightwell Electrical</t>
  </si>
  <si>
    <t xml:space="preserve">PRV203</t>
  </si>
  <si>
    <t xml:space="preserve">ColdChain Engineering</t>
  </si>
  <si>
    <t xml:space="preserve">PRV204</t>
  </si>
  <si>
    <t xml:space="preserve">SecureGuard Systems</t>
  </si>
  <si>
    <t xml:space="preserve">PRV205</t>
  </si>
  <si>
    <t xml:space="preserve">Thames Plumbing Services</t>
  </si>
  <si>
    <t xml:space="preserve">PRV206</t>
  </si>
  <si>
    <t xml:space="preserve">SafeSite Fire Protection</t>
  </si>
  <si>
    <t xml:space="preserve">PRV207</t>
  </si>
  <si>
    <t xml:space="preserve">TechSupport Direct</t>
  </si>
  <si>
    <t xml:space="preserve">PRV208</t>
  </si>
  <si>
    <t xml:space="preserve">FloorPro UK</t>
  </si>
  <si>
    <t xml:space="preserve">05 · EMPLOYEES (FM team)</t>
  </si>
  <si>
    <t xml:space="preserve">EmployeeID</t>
  </si>
  <si>
    <t xml:space="preserve">FullName</t>
  </si>
  <si>
    <t xml:space="preserve">Department</t>
  </si>
  <si>
    <t xml:space="preserve">Role</t>
  </si>
  <si>
    <t xml:space="preserve">HireDate</t>
  </si>
  <si>
    <t xml:space="preserve">AnnualSalary_GBP</t>
  </si>
  <si>
    <t xml:space="preserve">Email</t>
  </si>
  <si>
    <t xml:space="preserve">Oliver Jones</t>
  </si>
  <si>
    <t xml:space="preserve">Facilities</t>
  </si>
  <si>
    <t xml:space="preserve">FM Manager</t>
  </si>
  <si>
    <t xml:space="preserve">oliver.jones@rapport.co.uk</t>
  </si>
  <si>
    <t xml:space="preserve">Leo Wilson</t>
  </si>
  <si>
    <t xml:space="preserve">Procurement</t>
  </si>
  <si>
    <t xml:space="preserve">Procurement Lead</t>
  </si>
  <si>
    <t xml:space="preserve">leo.wilson@rapport.co.uk</t>
  </si>
  <si>
    <t xml:space="preserve">Noah Thomas</t>
  </si>
  <si>
    <t xml:space="preserve">Projects</t>
  </si>
  <si>
    <t xml:space="preserve">Projects Lead</t>
  </si>
  <si>
    <t xml:space="preserve">noah.thomas@rapport.co.uk</t>
  </si>
  <si>
    <t xml:space="preserve">Isla Smith</t>
  </si>
  <si>
    <t xml:space="preserve">isla.smith@rapport.co.uk</t>
  </si>
  <si>
    <t xml:space="preserve">Oscar Walker</t>
  </si>
  <si>
    <t xml:space="preserve">Operations</t>
  </si>
  <si>
    <t xml:space="preserve">Operations Lead</t>
  </si>
  <si>
    <t xml:space="preserve">oscar.walker@rapport.co.uk</t>
  </si>
  <si>
    <t xml:space="preserve">Amelia Taylor</t>
  </si>
  <si>
    <t xml:space="preserve">Compliance</t>
  </si>
  <si>
    <t xml:space="preserve">Compliance Lead</t>
  </si>
  <si>
    <t xml:space="preserve">amelia.taylor@rapport.co.uk</t>
  </si>
  <si>
    <t xml:space="preserve">Charlie Walker</t>
  </si>
  <si>
    <t xml:space="preserve">charlie.walker@rapport.co.uk</t>
  </si>
  <si>
    <t xml:space="preserve">Charlie White</t>
  </si>
  <si>
    <t xml:space="preserve">charlie.white@rapport.co.uk</t>
  </si>
  <si>
    <t xml:space="preserve">Noah White</t>
  </si>
  <si>
    <t xml:space="preserve">noah.white@rapport.co.uk</t>
  </si>
  <si>
    <t xml:space="preserve">Jack Wilson</t>
  </si>
  <si>
    <t xml:space="preserve">jack.wilson@rapport.co.uk</t>
  </si>
  <si>
    <t xml:space="preserve">EMP111</t>
  </si>
  <si>
    <t xml:space="preserve">Lily Roberts</t>
  </si>
  <si>
    <t xml:space="preserve">lily.roberts@rapport.co.uk</t>
  </si>
  <si>
    <t xml:space="preserve">06 · MAINTENANCE TICKETS (220 rows — your main analysis dataset)</t>
  </si>
  <si>
    <t xml:space="preserve">TicketID</t>
  </si>
  <si>
    <t xml:space="preserve">LogDate</t>
  </si>
  <si>
    <t xml:space="preserve">IssueType</t>
  </si>
  <si>
    <t xml:space="preserve">Priority</t>
  </si>
  <si>
    <t xml:space="preserve">ResolutionDays</t>
  </si>
  <si>
    <t xml:space="preserve">TK2025001</t>
  </si>
  <si>
    <t xml:space="preserve">Compliance Check</t>
  </si>
  <si>
    <t xml:space="preserve">Critical</t>
  </si>
  <si>
    <t xml:space="preserve">TK2025002</t>
  </si>
  <si>
    <t xml:space="preserve">Inspection</t>
  </si>
  <si>
    <t xml:space="preserve">High</t>
  </si>
  <si>
    <t xml:space="preserve">TK2025003</t>
  </si>
  <si>
    <t xml:space="preserve">Routine Maintenance</t>
  </si>
  <si>
    <t xml:space="preserve">Medium</t>
  </si>
  <si>
    <t xml:space="preserve">TK2025004</t>
  </si>
  <si>
    <t xml:space="preserve">Upgrade</t>
  </si>
  <si>
    <t xml:space="preserve">TK2025005</t>
  </si>
  <si>
    <t xml:space="preserve">Low</t>
  </si>
  <si>
    <t xml:space="preserve">Escalated</t>
  </si>
  <si>
    <t xml:space="preserve">TK2025006</t>
  </si>
  <si>
    <t xml:space="preserve">TK2025007</t>
  </si>
  <si>
    <t xml:space="preserve">Installation</t>
  </si>
  <si>
    <t xml:space="preserve">TK2025008</t>
  </si>
  <si>
    <t xml:space="preserve">TK2025009</t>
  </si>
  <si>
    <t xml:space="preserve">TK2025010</t>
  </si>
  <si>
    <t xml:space="preserve">TK2025011</t>
  </si>
  <si>
    <t xml:space="preserve">TK2025012</t>
  </si>
  <si>
    <t xml:space="preserve">TK2025013</t>
  </si>
  <si>
    <t xml:space="preserve">TK2025014</t>
  </si>
  <si>
    <t xml:space="preserve">TK2025015</t>
  </si>
  <si>
    <t xml:space="preserve">TK2025016</t>
  </si>
  <si>
    <t xml:space="preserve">Awaiting Parts</t>
  </si>
  <si>
    <t xml:space="preserve">TK2025017</t>
  </si>
  <si>
    <t xml:space="preserve">TK2025018</t>
  </si>
  <si>
    <t xml:space="preserve">TK2025019</t>
  </si>
  <si>
    <t xml:space="preserve">TK2025020</t>
  </si>
  <si>
    <t xml:space="preserve">TK2025021</t>
  </si>
  <si>
    <t xml:space="preserve">TK2025022</t>
  </si>
  <si>
    <t xml:space="preserve">TK2025023</t>
  </si>
  <si>
    <t xml:space="preserve">TK2025024</t>
  </si>
  <si>
    <t xml:space="preserve">TK2025025</t>
  </si>
  <si>
    <t xml:space="preserve">TK2025026</t>
  </si>
  <si>
    <t xml:space="preserve">TK2025027</t>
  </si>
  <si>
    <t xml:space="preserve">Breakdown</t>
  </si>
  <si>
    <t xml:space="preserve">TK2025028</t>
  </si>
  <si>
    <t xml:space="preserve">TK2025029</t>
  </si>
  <si>
    <t xml:space="preserve">TK2025030</t>
  </si>
  <si>
    <t xml:space="preserve">TK2025031</t>
  </si>
  <si>
    <t xml:space="preserve">TK2025032</t>
  </si>
  <si>
    <t xml:space="preserve">TK2025033</t>
  </si>
  <si>
    <t xml:space="preserve">TK2025034</t>
  </si>
  <si>
    <t xml:space="preserve">TK2025035</t>
  </si>
  <si>
    <t xml:space="preserve">TK2025036</t>
  </si>
  <si>
    <t xml:space="preserve">TK2025037</t>
  </si>
  <si>
    <t xml:space="preserve">TK2025038</t>
  </si>
  <si>
    <t xml:space="preserve">TK2025039</t>
  </si>
  <si>
    <t xml:space="preserve">TK2025040</t>
  </si>
  <si>
    <t xml:space="preserve">TK2025041</t>
  </si>
  <si>
    <t xml:space="preserve">TK2025042</t>
  </si>
  <si>
    <t xml:space="preserve">TK2025043</t>
  </si>
  <si>
    <t xml:space="preserve">TK2025044</t>
  </si>
  <si>
    <t xml:space="preserve">TK2025045</t>
  </si>
  <si>
    <t xml:space="preserve">TK2025046</t>
  </si>
  <si>
    <t xml:space="preserve">TK2025047</t>
  </si>
  <si>
    <t xml:space="preserve">TK2025048</t>
  </si>
  <si>
    <t xml:space="preserve">TK2025049</t>
  </si>
  <si>
    <t xml:space="preserve">TK2025050</t>
  </si>
  <si>
    <t xml:space="preserve">TK2025051</t>
  </si>
  <si>
    <t xml:space="preserve">TK2025052</t>
  </si>
  <si>
    <t xml:space="preserve">TK2025053</t>
  </si>
  <si>
    <t xml:space="preserve">TK2025054</t>
  </si>
  <si>
    <t xml:space="preserve">TK2025055</t>
  </si>
  <si>
    <t xml:space="preserve">TK2025056</t>
  </si>
  <si>
    <t xml:space="preserve">TK2025057</t>
  </si>
  <si>
    <t xml:space="preserve">TK2025058</t>
  </si>
  <si>
    <t xml:space="preserve">TK2025059</t>
  </si>
  <si>
    <t xml:space="preserve">TK2025060</t>
  </si>
  <si>
    <t xml:space="preserve">TK2025061</t>
  </si>
  <si>
    <t xml:space="preserve">TK2025062</t>
  </si>
  <si>
    <t xml:space="preserve">TK2025063</t>
  </si>
  <si>
    <t xml:space="preserve">TK2025064</t>
  </si>
  <si>
    <t xml:space="preserve">TK2025065</t>
  </si>
  <si>
    <t xml:space="preserve">TK2025066</t>
  </si>
  <si>
    <t xml:space="preserve">TK2025067</t>
  </si>
  <si>
    <t xml:space="preserve">TK2025068</t>
  </si>
  <si>
    <t xml:space="preserve">TK2025069</t>
  </si>
  <si>
    <t xml:space="preserve">TK2025070</t>
  </si>
  <si>
    <t xml:space="preserve">TK2025071</t>
  </si>
  <si>
    <t xml:space="preserve">TK2025072</t>
  </si>
  <si>
    <t xml:space="preserve">TK2025073</t>
  </si>
  <si>
    <t xml:space="preserve">TK2025074</t>
  </si>
  <si>
    <t xml:space="preserve">TK2025075</t>
  </si>
  <si>
    <t xml:space="preserve">TK2025076</t>
  </si>
  <si>
    <t xml:space="preserve">TK2025077</t>
  </si>
  <si>
    <t xml:space="preserve">TK2025078</t>
  </si>
  <si>
    <t xml:space="preserve">TK2025079</t>
  </si>
  <si>
    <t xml:space="preserve">TK2025080</t>
  </si>
  <si>
    <t xml:space="preserve">TK2025081</t>
  </si>
  <si>
    <t xml:space="preserve">TK2025082</t>
  </si>
  <si>
    <t xml:space="preserve">TK2025083</t>
  </si>
  <si>
    <t xml:space="preserve">TK2025084</t>
  </si>
  <si>
    <t xml:space="preserve">TK2025085</t>
  </si>
  <si>
    <t xml:space="preserve">TK2025086</t>
  </si>
  <si>
    <t xml:space="preserve">TK2025087</t>
  </si>
  <si>
    <t xml:space="preserve">TK2025088</t>
  </si>
  <si>
    <t xml:space="preserve">TK2025089</t>
  </si>
  <si>
    <t xml:space="preserve">TK2025090</t>
  </si>
  <si>
    <t xml:space="preserve">TK2025091</t>
  </si>
  <si>
    <t xml:space="preserve">TK2025092</t>
  </si>
  <si>
    <t xml:space="preserve">TK2025093</t>
  </si>
  <si>
    <t xml:space="preserve">TK2025094</t>
  </si>
  <si>
    <t xml:space="preserve">TK2025095</t>
  </si>
  <si>
    <t xml:space="preserve">TK2025096</t>
  </si>
  <si>
    <t xml:space="preserve">TK2025097</t>
  </si>
  <si>
    <t xml:space="preserve">TK2025098</t>
  </si>
  <si>
    <t xml:space="preserve">TK2025099</t>
  </si>
  <si>
    <t xml:space="preserve">TK2025100</t>
  </si>
  <si>
    <t xml:space="preserve">TK2025101</t>
  </si>
  <si>
    <t xml:space="preserve">TK2025102</t>
  </si>
  <si>
    <t xml:space="preserve">TK2025103</t>
  </si>
  <si>
    <t xml:space="preserve">TK2025104</t>
  </si>
  <si>
    <t xml:space="preserve">TK2025105</t>
  </si>
  <si>
    <t xml:space="preserve">TK2025106</t>
  </si>
  <si>
    <t xml:space="preserve">TK2025107</t>
  </si>
  <si>
    <t xml:space="preserve">TK2025108</t>
  </si>
  <si>
    <t xml:space="preserve">TK2025109</t>
  </si>
  <si>
    <t xml:space="preserve">TK2025110</t>
  </si>
  <si>
    <t xml:space="preserve">TK2025111</t>
  </si>
  <si>
    <t xml:space="preserve">TK2025112</t>
  </si>
  <si>
    <t xml:space="preserve">TK2025113</t>
  </si>
  <si>
    <t xml:space="preserve">TK2025114</t>
  </si>
  <si>
    <t xml:space="preserve">TK2025115</t>
  </si>
  <si>
    <t xml:space="preserve">TK2025116</t>
  </si>
  <si>
    <t xml:space="preserve">TK2025117</t>
  </si>
  <si>
    <t xml:space="preserve">TK2025118</t>
  </si>
  <si>
    <t xml:space="preserve">TK2025119</t>
  </si>
  <si>
    <t xml:space="preserve">TK2025120</t>
  </si>
  <si>
    <t xml:space="preserve">TK2025121</t>
  </si>
  <si>
    <t xml:space="preserve">TK2025122</t>
  </si>
  <si>
    <t xml:space="preserve">TK2025123</t>
  </si>
  <si>
    <t xml:space="preserve">TK2025124</t>
  </si>
  <si>
    <t xml:space="preserve">TK2025125</t>
  </si>
  <si>
    <t xml:space="preserve">TK2025126</t>
  </si>
  <si>
    <t xml:space="preserve">TK2025127</t>
  </si>
  <si>
    <t xml:space="preserve">TK2025128</t>
  </si>
  <si>
    <t xml:space="preserve">TK2025129</t>
  </si>
  <si>
    <t xml:space="preserve">TK2025130</t>
  </si>
  <si>
    <t xml:space="preserve">TK2025131</t>
  </si>
  <si>
    <t xml:space="preserve">TK2025132</t>
  </si>
  <si>
    <t xml:space="preserve">TK2025133</t>
  </si>
  <si>
    <t xml:space="preserve">TK2025134</t>
  </si>
  <si>
    <t xml:space="preserve">TK2025135</t>
  </si>
  <si>
    <t xml:space="preserve">TK2025136</t>
  </si>
  <si>
    <t xml:space="preserve">TK2025137</t>
  </si>
  <si>
    <t xml:space="preserve">TK2025138</t>
  </si>
  <si>
    <t xml:space="preserve">TK2025139</t>
  </si>
  <si>
    <t xml:space="preserve">TK2025140</t>
  </si>
  <si>
    <t xml:space="preserve">TK2025141</t>
  </si>
  <si>
    <t xml:space="preserve">TK2025142</t>
  </si>
  <si>
    <t xml:space="preserve">TK2025143</t>
  </si>
  <si>
    <t xml:space="preserve">TK2025144</t>
  </si>
  <si>
    <t xml:space="preserve">TK2025145</t>
  </si>
  <si>
    <t xml:space="preserve">TK2025146</t>
  </si>
  <si>
    <t xml:space="preserve">TK2025147</t>
  </si>
  <si>
    <t xml:space="preserve">TK2025148</t>
  </si>
  <si>
    <t xml:space="preserve">TK2025149</t>
  </si>
  <si>
    <t xml:space="preserve">TK2025150</t>
  </si>
  <si>
    <t xml:space="preserve">TK2025151</t>
  </si>
  <si>
    <t xml:space="preserve">TK2025152</t>
  </si>
  <si>
    <t xml:space="preserve">TK2025153</t>
  </si>
  <si>
    <t xml:space="preserve">TK2025154</t>
  </si>
  <si>
    <t xml:space="preserve">TK2025155</t>
  </si>
  <si>
    <t xml:space="preserve">TK2025156</t>
  </si>
  <si>
    <t xml:space="preserve">TK2025157</t>
  </si>
  <si>
    <t xml:space="preserve">TK2025158</t>
  </si>
  <si>
    <t xml:space="preserve">TK2025159</t>
  </si>
  <si>
    <t xml:space="preserve">TK2025160</t>
  </si>
  <si>
    <t xml:space="preserve">TK2025161</t>
  </si>
  <si>
    <t xml:space="preserve">TK2025162</t>
  </si>
  <si>
    <t xml:space="preserve">TK2025163</t>
  </si>
  <si>
    <t xml:space="preserve">TK2025164</t>
  </si>
  <si>
    <t xml:space="preserve">TK2025165</t>
  </si>
  <si>
    <t xml:space="preserve">TK2025166</t>
  </si>
  <si>
    <t xml:space="preserve">TK2025167</t>
  </si>
  <si>
    <t xml:space="preserve">TK2025168</t>
  </si>
  <si>
    <t xml:space="preserve">TK2025169</t>
  </si>
  <si>
    <t xml:space="preserve">TK2025170</t>
  </si>
  <si>
    <t xml:space="preserve">TK2025171</t>
  </si>
  <si>
    <t xml:space="preserve">TK2025172</t>
  </si>
  <si>
    <t xml:space="preserve">TK2025173</t>
  </si>
  <si>
    <t xml:space="preserve">TK2025174</t>
  </si>
  <si>
    <t xml:space="preserve">TK2025175</t>
  </si>
  <si>
    <t xml:space="preserve">TK2025176</t>
  </si>
  <si>
    <t xml:space="preserve">TK2025177</t>
  </si>
  <si>
    <t xml:space="preserve">TK2025178</t>
  </si>
  <si>
    <t xml:space="preserve">TK2025179</t>
  </si>
  <si>
    <t xml:space="preserve">TK2025180</t>
  </si>
  <si>
    <t xml:space="preserve">TK2025181</t>
  </si>
  <si>
    <t xml:space="preserve">TK2025182</t>
  </si>
  <si>
    <t xml:space="preserve">TK2025183</t>
  </si>
  <si>
    <t xml:space="preserve">TK2025184</t>
  </si>
  <si>
    <t xml:space="preserve">TK2025185</t>
  </si>
  <si>
    <t xml:space="preserve">TK2025186</t>
  </si>
  <si>
    <t xml:space="preserve">TK2025187</t>
  </si>
  <si>
    <t xml:space="preserve">TK2025188</t>
  </si>
  <si>
    <t xml:space="preserve">TK2025189</t>
  </si>
  <si>
    <t xml:space="preserve">TK2025190</t>
  </si>
  <si>
    <t xml:space="preserve">TK2025191</t>
  </si>
  <si>
    <t xml:space="preserve">TK2025192</t>
  </si>
  <si>
    <t xml:space="preserve">TK2025193</t>
  </si>
  <si>
    <t xml:space="preserve">TK2025194</t>
  </si>
  <si>
    <t xml:space="preserve">TK2025195</t>
  </si>
  <si>
    <t xml:space="preserve">TK2025196</t>
  </si>
  <si>
    <t xml:space="preserve">TK2025197</t>
  </si>
  <si>
    <t xml:space="preserve">TK2025198</t>
  </si>
  <si>
    <t xml:space="preserve">TK2025199</t>
  </si>
  <si>
    <t xml:space="preserve">TK2025200</t>
  </si>
  <si>
    <t xml:space="preserve">TK2025201</t>
  </si>
  <si>
    <t xml:space="preserve">TK2025202</t>
  </si>
  <si>
    <t xml:space="preserve">TK2025203</t>
  </si>
  <si>
    <t xml:space="preserve">TK2025204</t>
  </si>
  <si>
    <t xml:space="preserve">TK2025205</t>
  </si>
  <si>
    <t xml:space="preserve">TK2025206</t>
  </si>
  <si>
    <t xml:space="preserve">TK2025207</t>
  </si>
  <si>
    <t xml:space="preserve">TK2025208</t>
  </si>
  <si>
    <t xml:space="preserve">TK2025209</t>
  </si>
  <si>
    <t xml:space="preserve">TK2025210</t>
  </si>
  <si>
    <t xml:space="preserve">TK2025211</t>
  </si>
  <si>
    <t xml:space="preserve">TK2025212</t>
  </si>
  <si>
    <t xml:space="preserve">TK2025213</t>
  </si>
  <si>
    <t xml:space="preserve">TK2025214</t>
  </si>
  <si>
    <t xml:space="preserve">TK2025215</t>
  </si>
  <si>
    <t xml:space="preserve">TK2025216</t>
  </si>
  <si>
    <t xml:space="preserve">TK2025217</t>
  </si>
  <si>
    <t xml:space="preserve">TK2025218</t>
  </si>
  <si>
    <t xml:space="preserve">TK2025219</t>
  </si>
  <si>
    <t xml:space="preserve">TK2025220</t>
  </si>
  <si>
    <t xml:space="preserve">07 · MESSY DATA — a realistic raw export with 7 problems</t>
  </si>
  <si>
    <t xml:space="preserve">This is how data actually arrives from outside systems. Your Power Query exercise: turn it into a clean table.</t>
  </si>
  <si>
    <t xml:space="preserve">Scan the table below. You should spot SEVEN distinct data-quality issues. List them in the yellow cells, then sheet 13_PowerQuery shows you how to fix each one.</t>
  </si>
  <si>
    <t xml:space="preserve">  THE SEVEN PROBLEMS (fill in as you find them)</t>
  </si>
  <si>
    <t xml:space="preserve">Problem 1:</t>
  </si>
  <si>
    <t xml:space="preserve">Problem 2:</t>
  </si>
  <si>
    <t xml:space="preserve">Problem 3:</t>
  </si>
  <si>
    <t xml:space="preserve">Problem 4:</t>
  </si>
  <si>
    <t xml:space="preserve">Problem 5:</t>
  </si>
  <si>
    <t xml:space="preserve">Problem 6:</t>
  </si>
  <si>
    <t xml:space="preserve">Problem 7:</t>
  </si>
  <si>
    <t xml:space="preserve">  RAW EXPORT (messy)</t>
  </si>
  <si>
    <t xml:space="preserve">Ticket Ref</t>
  </si>
  <si>
    <t xml:space="preserve">Log Date</t>
  </si>
  <si>
    <t xml:space="preserve">store</t>
  </si>
  <si>
    <t xml:space="preserve">ISSUE</t>
  </si>
  <si>
    <t xml:space="preserve">priority</t>
  </si>
  <si>
    <t xml:space="preserve">Cost (£)</t>
  </si>
  <si>
    <t xml:space="preserve">Provider Name</t>
  </si>
  <si>
    <t xml:space="preserve">15/01/2026</t>
  </si>
  <si>
    <t xml:space="preserve">£250</t>
  </si>
  <si>
    <t xml:space="preserve">16-01-2026</t>
  </si>
  <si>
    <t xml:space="preserve"> ST1007</t>
  </si>
  <si>
    <t xml:space="preserve">medium</t>
  </si>
  <si>
    <t xml:space="preserve">180</t>
  </si>
  <si>
    <t xml:space="preserve">closed</t>
  </si>
  <si>
    <t xml:space="preserve">2026-01-17</t>
  </si>
  <si>
    <t xml:space="preserve">£120</t>
  </si>
  <si>
    <t xml:space="preserve">17/1/2026</t>
  </si>
  <si>
    <t xml:space="preserve">breakdown</t>
  </si>
  <si>
    <t xml:space="preserve">HIGH</t>
  </si>
  <si>
    <t xml:space="preserve">CLOSED</t>
  </si>
  <si>
    <t xml:space="preserve">Mercury Facilities</t>
  </si>
  <si>
    <t xml:space="preserve">620</t>
  </si>
  <si>
    <t xml:space="preserve">20/01/2026</t>
  </si>
  <si>
    <t xml:space="preserve">ST1008 </t>
  </si>
  <si>
    <t xml:space="preserve">critical</t>
  </si>
  <si>
    <t xml:space="preserve">£1,800</t>
  </si>
  <si>
    <t xml:space="preserve">21/01/2026</t>
  </si>
  <si>
    <t xml:space="preserve">£85</t>
  </si>
  <si>
    <t xml:space="preserve">23/01/2026</t>
  </si>
  <si>
    <t xml:space="preserve">£340</t>
  </si>
  <si>
    <t xml:space="preserve">24/1/2026</t>
  </si>
  <si>
    <t xml:space="preserve">250</t>
  </si>
  <si>
    <t xml:space="preserve">25/01/2026</t>
  </si>
  <si>
    <t xml:space="preserve">£480</t>
  </si>
  <si>
    <t xml:space="preserve">27/01/2026</t>
  </si>
  <si>
    <t xml:space="preserve">10 · PIVOT TABLES — the fastest way to summarise data</t>
  </si>
  <si>
    <t xml:space="preserve">A Pivot Table answers questions like 'total cost by region' or 'tickets by priority and month' WITHOUT writing any formulas. Master this first.</t>
  </si>
  <si>
    <t xml:space="preserve">  LEARN · What is a Pivot Table?</t>
  </si>
  <si>
    <t xml:space="preserve">• A Pivot Table is a drag-and-drop summary tool. You pick a field for Rows, a field for Columns, and a field for Values — Excel groups the data for you.</t>
  </si>
  <si>
    <t xml:space="preserve">• You build it from a RANGE or a TABLE. Always convert your data to a Table first (Ctrl + T) — pivots will then grow as the table grows.</t>
  </si>
  <si>
    <t xml:space="preserve">• Four drop zones: Filters (top), Columns (across), Rows (down), Values (the numbers). Drag fields between them to change the view.</t>
  </si>
  <si>
    <t xml:space="preserve">• Aggregations you can use on Values: Sum, Count, Average, Min, Max, Product, StdDev — click the 'i' next to the field to change it.</t>
  </si>
  <si>
    <t xml:space="preserve">  HOW TO INSERT A PIVOT TABLE (Excel Desktop)</t>
  </si>
  <si>
    <t xml:space="preserve">1.  Click anywhere inside the ticket data on sheet '06_Tickets'.</t>
  </si>
  <si>
    <t xml:space="preserve">2.  Press Ctrl + T to convert it to an Excel Table (tick 'My table has headers'). Name it 'tblTickets' in Table Design ribbon.</t>
  </si>
  <si>
    <t xml:space="preserve">3.  Go to Insert ribbon → PivotTable → From Table/Range → New Worksheet.</t>
  </si>
  <si>
    <t xml:space="preserve">4.  The PivotTable Fields pane appears on the right. You see every column from the table.</t>
  </si>
  <si>
    <t xml:space="preserve">5.  Drag 'Region' to Rows (you'll need to join to Stores first — for now drag 'StoreID').</t>
  </si>
  <si>
    <t xml:space="preserve">6.  Drag 'Cost_GBP' to Values (it defaults to Sum).</t>
  </si>
  <si>
    <t xml:space="preserve">7.  You now have total cost by store. Change the value aggregation via 'Value Field Settings'.</t>
  </si>
  <si>
    <t xml:space="preserve">  PRACTICE — five pivot views to build</t>
  </si>
  <si>
    <t xml:space="preserve">Build this view</t>
  </si>
  <si>
    <t xml:space="preserve">Hint</t>
  </si>
  <si>
    <t xml:space="preserve">P1</t>
  </si>
  <si>
    <t xml:space="preserve">Total Cost_GBP by Status.</t>
  </si>
  <si>
    <t xml:space="preserve">Drop Status into Rows, Cost_GBP into Values.</t>
  </si>
  <si>
    <t xml:space="preserve">P2</t>
  </si>
  <si>
    <t xml:space="preserve">Count of tickets by Priority.</t>
  </si>
  <si>
    <t xml:space="preserve">Drop Priority into Rows, TicketID into Values → change to Count.</t>
  </si>
  <si>
    <t xml:space="preserve">P3</t>
  </si>
  <si>
    <t xml:space="preserve">Sum of Cost_GBP by Priority AND Status.</t>
  </si>
  <si>
    <t xml:space="preserve">Priority in Rows, Status in Columns, Cost_GBP in Values.</t>
  </si>
  <si>
    <t xml:space="preserve">P4</t>
  </si>
  <si>
    <t xml:space="preserve">Average ResolutionDays by Priority.</t>
  </si>
  <si>
    <t xml:space="preserve">Priority in Rows, ResolutionDays in Values → change aggregation to Average.</t>
  </si>
  <si>
    <t xml:space="preserve">P5</t>
  </si>
  <si>
    <t xml:space="preserve">Cost by month.</t>
  </si>
  <si>
    <t xml:space="preserve">Right-click any LogDate in the pivot → Group → Months. Then drop into Rows with Cost in Values.</t>
  </si>
  <si>
    <t xml:space="preserve">  FORMULA-EQUIVALENT VIEW (if you can't use Pivots)</t>
  </si>
  <si>
    <t xml:space="preserve">These SUMIFS / COUNTIFS formulas produce the SAME numbers as pivots. Useful when your file is shared with someone who can't refresh pivots, or when you're building a live dashboard.</t>
  </si>
  <si>
    <t xml:space="preserve">Count of tickets</t>
  </si>
  <si>
    <t xml:space="preserve">Total cost (£)</t>
  </si>
  <si>
    <t xml:space="preserve">Avg cost (£)</t>
  </si>
  <si>
    <t xml:space="preserve">TOTAL</t>
  </si>
  <si>
    <t xml:space="preserve">  CHALLENGE</t>
  </si>
  <si>
    <t xml:space="preserve">1. Build a pivot showing the TOP 5 most expensive StoreIDs by total Cost_GBP. (Right-click → Filter → Top 10 → change to 5).</t>
  </si>
  <si>
    <t xml:space="preserve">2. Add a Slicer on Priority. A Slicer is a clickable filter next to the pivot. Pivot Table Analyze ribbon → Insert Slicer.</t>
  </si>
  <si>
    <t xml:space="preserve">3. Show 'percentage of total cost' instead of raw cost. Right-click the value field → Show Values As → % of Column Total.</t>
  </si>
  <si>
    <t xml:space="preserve">11 · VLOOKUP &amp; XLOOKUP — joining data across tables</t>
  </si>
  <si>
    <t xml:space="preserve">Your ticket table has StoreID but not StoreName. Your lookup job: pull the matching StoreName from the Stores table.</t>
  </si>
  <si>
    <t xml:space="preserve">  LEARN · VLOOKUP syntax</t>
  </si>
  <si>
    <t xml:space="preserve"> =VLOOKUP( what_to_find ,  where_to_search ,  which_column_to_return ,  exact_match? )</t>
  </si>
  <si>
    <t xml:space="preserve">Rules to remember:
  • The column you're searching on (first column of the range) MUST be the left-most column.
  • The 4th argument should almost always be FALSE (exact match). TRUE is only for sorted numeric lookups.
  • If the value isn't found, VLOOKUP returns an 'N/A' error — wrap it in IFERROR to show a friendly message.</t>
  </si>
  <si>
    <t xml:space="preserve">  LEARN · XLOOKUP (modern replacement, Excel 365/2021+)</t>
  </si>
  <si>
    <t xml:space="preserve"> =xlookup( what_to_find ,  lookup_array ,  return_array ,  [if_not_found] )</t>
  </si>
  <si>
    <t xml:space="preserve">Why XLOOKUP beats VLOOKUP:
  • Lookup column can be ANYWHERE — not forced to the left.
  • Built-in 'if not found' argument — no need for IFERROR.
  • Defaults to exact match (safer).
  • Works left-to-right OR right-to-left.
  • Can return an entire row with one formula.</t>
  </si>
  <si>
    <t xml:space="preserve">  PRACTICE — enrich the ticket table</t>
  </si>
  <si>
    <t xml:space="preserve">Below is a mini copy of the first 12 tickets. Write the lookup formula for each yellow cell. Use VLOOKUP for the first 2, XLOOKUP for the rest. Solutions on sheet 99_Solutions.</t>
  </si>
  <si>
    <t xml:space="preserve">StoreName (VLOOKUP)</t>
  </si>
  <si>
    <t xml:space="preserve">Region (VLOOKUP)</t>
  </si>
  <si>
    <t xml:space="preserve">ProviderName (XLOOKUP)</t>
  </si>
  <si>
    <t xml:space="preserve">Service (XLOOKUP)</t>
  </si>
  <si>
    <t xml:space="preserve">Contract £ (XLOOKUP)</t>
  </si>
  <si>
    <t xml:space="preserve">Hints (target for column 5 — StoreName using VLOOKUP):
  =VLOOKUP(C16, '02_Stores'!$A$3:$H$32, 2, FALSE)
For column 7 — ProviderName using XLOOKUP:
  =XLOOKUP(D16, '04_Providers'!$A$3:$A$10, '04_Providers'!$B$3:$B$10, "Not Found")</t>
  </si>
  <si>
    <t xml:space="preserve">  LIVE WORKED EXAMPLE (already filled in — learn by reading)</t>
  </si>
  <si>
    <t xml:space="preserve">Contract £</t>
  </si>
  <si>
    <t xml:space="preserve">1. Two-way lookup — given a StoreID and a Priority, return the TOTAL cost. (Hint: SUMIFS is usually cleaner than nested lookups).</t>
  </si>
  <si>
    <t xml:space="preserve">2. Reverse lookup — given a StoreName, return the StoreID. VLOOKUP can't do this (lookup column isn't leftmost). XLOOKUP CAN. Write both and see.</t>
  </si>
  <si>
    <t xml:space="preserve">3. 'IFERROR wrap' — rewrite your VLOOKUP so that a missing ID returns "Not on file" instead of the lookup-error value.</t>
  </si>
  <si>
    <t xml:space="preserve">12 · DASHBOARDS — build a one-page FM report</t>
  </si>
  <si>
    <t xml:space="preserve">A dashboard = KPIs (headline numbers) + charts + a filter strip, all on one screen. Here we build a live one.</t>
  </si>
  <si>
    <t xml:space="preserve">  KPI CARDS (these update if you change ticket data)</t>
  </si>
  <si>
    <t xml:space="preserve">TOTAL TICKETS</t>
  </si>
  <si>
    <t xml:space="preserve">OPEN / IN PROGRESS</t>
  </si>
  <si>
    <t xml:space="preserve">TOTAL COST (£)</t>
  </si>
  <si>
    <t xml:space="preserve">AVG COST / TICKET</t>
  </si>
  <si>
    <t xml:space="preserve">AVG RESOLUTION DAYS</t>
  </si>
  <si>
    <t xml:space="preserve">% CRITICAL</t>
  </si>
  <si>
    <t xml:space="preserve">HIGHEST SINGLE COST</t>
  </si>
  <si>
    <t xml:space="preserve">  SUMMARY TABLES (chart data — keep visible)</t>
  </si>
  <si>
    <t xml:space="preserve">Tickets</t>
  </si>
  <si>
    <t xml:space="preserve">Month</t>
  </si>
  <si>
    <t xml:space="preserve">Jan 2026</t>
  </si>
  <si>
    <t xml:space="preserve">Feb 2026</t>
  </si>
  <si>
    <t xml:space="preserve">Mar 2026</t>
  </si>
  <si>
    <t xml:space="preserve">Apr 2026</t>
  </si>
  <si>
    <t xml:space="preserve">  HOW THIS DASHBOARD WORKS</t>
  </si>
  <si>
    <t xml:space="preserve">• Every KPI card is a live formula — change any ticket cost on sheet 06 and the card updates.</t>
  </si>
  <si>
    <t xml:space="preserve">• The three summary tables are the 'engine room' that feeds the charts. Keep them visible so you can see what's being charted.</t>
  </si>
  <si>
    <t xml:space="preserve">• Charts are linked to the summary tables, not the raw data. This is the most maintainable pattern.</t>
  </si>
  <si>
    <t xml:space="preserve">• To add a SLICER: click any pivot → Insert → Slicer → pick field. Slicers can connect to multiple pivots (right-click → Report Connections).</t>
  </si>
  <si>
    <t xml:space="preserve">• TO MAKE IT A POLISHED REPORT: View → Uncheck Gridlines &amp; Headings, zoom to 90%, freeze the KPI row.</t>
  </si>
  <si>
    <t xml:space="preserve">  PRACTICE</t>
  </si>
  <si>
    <t xml:space="preserve">1. Add a 9th KPI: 'Critical tickets still open' — count tickets where Priority='Critical' AND Status&lt;&gt;'Closed'.</t>
  </si>
  <si>
    <t xml:space="preserve">2. Add a bar chart showing total cost by Region. (Hint: you'll need VLOOKUP to get Region from StoreID first, or a helper column on sheet 06.)</t>
  </si>
  <si>
    <t xml:space="preserve">3. Add conditional formatting to the Priority table: colour-scale green→red on the 'Cost (£)' column.</t>
  </si>
  <si>
    <t xml:space="preserve">4. Protect the sheet (Review → Protect Sheet) so your KPIs can't be overwritten.</t>
  </si>
  <si>
    <t xml:space="preserve">13 · POWER QUERY — clean, reshape, automate</t>
  </si>
  <si>
    <t xml:space="preserve">Power Query is Excel's built-in ETL tool. Use it whenever you need to clean or combine data from outside sources — instead of doing it by hand every month, you record the steps once and click Refresh.</t>
  </si>
  <si>
    <t xml:space="preserve">  WHAT IS POWER QUERY &amp; WHY YOU'LL USE IT AT RAPPORT</t>
  </si>
  <si>
    <t xml:space="preserve">• Your ticket / asset / provider exports arrive in different formats every month. Doing 'find-and-replace' by hand is slow and error-prone.</t>
  </si>
  <si>
    <t xml:space="preserve">• Power Query lets you IMPORT a file, RECORD the cleaning steps, and then REFRESH the query next time — same steps run automatically.</t>
  </si>
  <si>
    <t xml:space="preserve">• It lives under the 'Data' ribbon: Data → Get Data → From File / From Folder / From Table or Range.</t>
  </si>
  <si>
    <t xml:space="preserve">• All your steps appear in a pane called 'Applied Steps' — you can edit, reorder or delete them any time.</t>
  </si>
  <si>
    <t xml:space="preserve">• Power Query uses a language called M behind the scenes, but you rarely touch it — the ribbon does 90% of the work.</t>
  </si>
  <si>
    <t xml:space="preserve">  EXERCISE — clean sheet '07_MessyData' step by step</t>
  </si>
  <si>
    <t xml:space="preserve">Open sheet 07_MessyData (if you haven't already). You saw 7 problems. Here's how Power Query fixes each.</t>
  </si>
  <si>
    <t xml:space="preserve">Step</t>
  </si>
  <si>
    <t xml:space="preserve">What to do</t>
  </si>
  <si>
    <t xml:space="preserve">STEP 1  ·  Load into Power Query</t>
  </si>
  <si>
    <t xml:space="preserve">Click anywhere inside the messy table on sheet 07_MessyData. Data ribbon → Get Data → From Other Sources → From Table/Range. Excel will ask you to convert to a Table first if it isn't one — click OK.</t>
  </si>
  <si>
    <t xml:space="preserve">STEP 2  ·  Promote headers (if needed)</t>
  </si>
  <si>
    <t xml:space="preserve">If the first row isn't treated as headers, click Home → Use First Row as Headers.</t>
  </si>
  <si>
    <t xml:space="preserve">STEP 3  ·  Rename columns to clean names</t>
  </si>
  <si>
    <t xml:space="preserve">Double-click each column header and rename: 'Ticket Ref' → 'TicketID', 'Log Date' → 'LogDate', 'store' → 'StoreID', 'ISSUE' → 'IssueType', 'priority' → 'Priority', 'Cost (£)' → 'Cost_GBP', 'Status' → 'Status', 'Provider Name' → 'Provider'.</t>
  </si>
  <si>
    <t xml:space="preserve">STEP 4  ·  Trim &amp; Clean text columns</t>
  </si>
  <si>
    <t xml:space="preserve">Select columns StoreID, IssueType, Priority, Provider → Transform → Format → Trim. Then Format → Clean (removes non-printing characters).</t>
  </si>
  <si>
    <t xml:space="preserve">STEP 5  ·  Standardise text case</t>
  </si>
  <si>
    <t xml:space="preserve">Select Priority and Status → Transform → Format → Capitalize Each Word. Now 'critical', 'HIGH', 'Critical' all become 'Critical'.</t>
  </si>
  <si>
    <t xml:space="preserve">STEP 6  ·  Fix mixed date formats</t>
  </si>
  <si>
    <t xml:space="preserve">Select LogDate → Transform → Data Type → Using Locale → Date → English (United Kingdom). This parses '15/01/2026', '16-01-2026' and '2026-01-17' all into real dates.</t>
  </si>
  <si>
    <t xml:space="preserve">STEP 7  ·  Fix the Cost column</t>
  </si>
  <si>
    <t xml:space="preserve">Cost has '£250' and '250' mixed. Select Cost_GBP → Transform → Replace Values → '£' with nothing. Then Transform → Data Type → Decimal Number.</t>
  </si>
  <si>
    <t xml:space="preserve">STEP 8  ·  Fix blank rows</t>
  </si>
  <si>
    <t xml:space="preserve">Home → Remove Rows → Remove Blank Rows. Also filter the Status column drop-down to un-tick '(null)' if you want to exclude rows with no status, or keep them for investigation.</t>
  </si>
  <si>
    <t xml:space="preserve">STEP 9  ·  Remove duplicates</t>
  </si>
  <si>
    <t xml:space="preserve">Home → Remove Rows → Remove Duplicates. (Select ALL columns first or just the key column TicketID.)</t>
  </si>
  <si>
    <t xml:space="preserve">STEP 10  ·  Standardise provider names</t>
  </si>
  <si>
    <t xml:space="preserve">Select Provider → Replace Values → 'Mercury Facilities' with 'Mercury Facilities Ltd'. Repeat for any other typos you found.</t>
  </si>
  <si>
    <t xml:space="preserve">STEP 11  ·  Close &amp; Load</t>
  </si>
  <si>
    <t xml:space="preserve">Home → Close &amp; Load To → Table → Existing Worksheet. Pick a cell on a new sheet. You now have a clean table that can be REFRESHED next month: right-click the green table → Refresh.</t>
  </si>
  <si>
    <t xml:space="preserve">  KEY POWER QUERY MOVES TO REMEMBER</t>
  </si>
  <si>
    <t xml:space="preserve">Move</t>
  </si>
  <si>
    <t xml:space="preserve">Why it matters for FM reporting</t>
  </si>
  <si>
    <t xml:space="preserve">Merge Queries</t>
  </si>
  <si>
    <t xml:space="preserve">Join two tables (like VLOOKUP but for entire tables). Home → Merge Queries. Perfect for joining tickets to stores.</t>
  </si>
  <si>
    <t xml:space="preserve">Append Queries</t>
  </si>
  <si>
    <t xml:space="preserve">Stack two tables on top of each other (like UNION in SQL). Perfect for combining monthly exports.</t>
  </si>
  <si>
    <t xml:space="preserve">Unpivot Columns</t>
  </si>
  <si>
    <t xml:space="preserve">Turn a wide month-by-column layout (Jan, Feb, Mar...) into a tall one (Month, Value). Transform → Unpivot Columns.</t>
  </si>
  <si>
    <t xml:space="preserve">Group By</t>
  </si>
  <si>
    <t xml:space="preserve">Aggregate: 'Total cost per Region'. Transform → Group By.</t>
  </si>
  <si>
    <t xml:space="preserve">From Folder</t>
  </si>
  <si>
    <t xml:space="preserve">Point at a folder — Power Query reads EVERY file in it and stacks them. Game-changer for monthly data.</t>
  </si>
  <si>
    <t xml:space="preserve">Refresh All</t>
  </si>
  <si>
    <t xml:space="preserve">Data → Refresh All (Ctrl + Alt + F5). Re-runs all your queries with the latest source data.</t>
  </si>
  <si>
    <t xml:space="preserve">14 · POWER BI — from Excel to interactive dashboards</t>
  </si>
  <si>
    <t xml:space="preserve">Power BI Desktop is a free app from Microsoft that takes your Excel data and lets you build interactive dashboards and publish them to the web. If you know pivots &amp; Power Query, you already know 80% of Power BI.</t>
  </si>
  <si>
    <t xml:space="preserve">  WHAT IT IS</t>
  </si>
  <si>
    <t xml:space="preserve">• Power BI Desktop = a free Windows app. Download from: https://aka.ms/pbidesktop</t>
  </si>
  <si>
    <t xml:space="preserve">• Power BI Service = the web portal at app.powerbi.com where you publish your reports.</t>
  </si>
  <si>
    <t xml:space="preserve">• You build REPORTS (visuals on pages), which sit inside a DATASET, which draws from SOURCES (Excel, SQL, SharePoint, etc.).</t>
  </si>
  <si>
    <t xml:space="preserve">• Refresh: in Desktop, click Home → Refresh. In the Service, you schedule automatic refreshes.</t>
  </si>
  <si>
    <t xml:space="preserve">  WALKTHROUGH — publish this workbook as a Power BI report</t>
  </si>
  <si>
    <t xml:space="preserve">Action</t>
  </si>
  <si>
    <t xml:space="preserve">1 · Install Power BI Desktop</t>
  </si>
  <si>
    <t xml:space="preserve">Go to https://aka.ms/pbidesktop (free). Windows only. Sign in with your Microsoft account.</t>
  </si>
  <si>
    <t xml:space="preserve">2 · Get the data</t>
  </si>
  <si>
    <t xml:space="preserve">Home ribbon → Get Data → Excel Workbook → navigate to THIS file. Tick '06_Tickets', '02_Stores', '04_Providers', '03_Assets'. Click Load.</t>
  </si>
  <si>
    <t xml:space="preserve">3 · Build relationships (like a database)</t>
  </si>
  <si>
    <t xml:space="preserve">Go to Model view (left sidebar, third icon). Drag StoreID from Tickets onto StoreID in Stores. Drag ProviderID from Tickets onto ProviderID in Providers. Drag AssetID similarly. Now your tables are joined.</t>
  </si>
  <si>
    <t xml:space="preserve">4 · Your first visual — Cost by Region</t>
  </si>
  <si>
    <t xml:space="preserve">Report view. Drag Region (from Stores) onto the canvas. Drag Cost_GBP (from Tickets) on top of it. Power BI auto-builds a bar chart. Change the chart type via the Visualizations pane.</t>
  </si>
  <si>
    <t xml:space="preserve">5 · Add a KPI card</t>
  </si>
  <si>
    <t xml:space="preserve">Click the 'Card' visual. Drag Cost_GBP into it. You get a headline number. Repeat for Ticket count, Avg resolution days.</t>
  </si>
  <si>
    <t xml:space="preserve">6 · Add filters</t>
  </si>
  <si>
    <t xml:space="preserve">Drag Priority into the Filters pane at the right. Your whole report can now be filtered by priority with one click.</t>
  </si>
  <si>
    <t xml:space="preserve">7 · Add a SLICER (clickable filter)</t>
  </si>
  <si>
    <t xml:space="preserve">Slicer visual → drag Region in. Click a region button → every visual updates instantly.</t>
  </si>
  <si>
    <t xml:space="preserve">8 · Publish to the web</t>
  </si>
  <si>
    <t xml:space="preserve">Home → Publish → My Workspace. Power BI uploads it to app.powerbi.com. You get a share link.</t>
  </si>
  <si>
    <t xml:space="preserve">9 · Schedule refresh</t>
  </si>
  <si>
    <t xml:space="preserve">In the Service, go to Datasets → Settings → Scheduled refresh → pick time &amp; frequency. Your Excel source must be on OneDrive/SharePoint for this to work automatically.</t>
  </si>
  <si>
    <t xml:space="preserve">  WHAT POWER BI DOES THAT EXCEL CAN'T (EASILY)</t>
  </si>
  <si>
    <t xml:space="preserve">• Works with MUCH larger data (millions of rows). Excel tops out around 1M rows per sheet.</t>
  </si>
  <si>
    <t xml:space="preserve">• Interactivity is built in — click one visual and everything else filters.</t>
  </si>
  <si>
    <t xml:space="preserve">• Publishes online so colleagues can view on phone / browser without Excel.</t>
  </si>
  <si>
    <t xml:space="preserve">• DAX — a formula language that extends beyond what Excel pivots can do (time-intelligence, rolling averages, YoY comparisons).</t>
  </si>
  <si>
    <t xml:space="preserve">• Role-based security — restrict who sees which stores / regions.</t>
  </si>
  <si>
    <t xml:space="preserve">  DAX — the ONE formula to learn first</t>
  </si>
  <si>
    <t xml:space="preserve">CALCULATE is Power BI's SUMIFS. Syntax: CALCULATE( expression, filter1, filter2, ... )</t>
  </si>
  <si>
    <t xml:space="preserve">Example  ·  Total cost of CLOSED tickets:
   Closed Cost = CALCULATE( SUM(Tickets[Cost_GBP]), Tickets[Status] = "Closed" )
This becomes a reusable "measure" that you can drag onto any visual.</t>
  </si>
  <si>
    <t xml:space="preserve">  NO POWER BI DESKTOP? YOU CAN STILL LEARN</t>
  </si>
  <si>
    <t xml:space="preserve">• Read Microsoft's free Power BI Guided Learning: https://learn.microsoft.com/power-bi/
• Watch 'SQLBI' and 'Guy in a Cube' on YouTube — industry standards.
• If you're on a Mac, install Power BI Desktop in a Windows VM or use Power BI Service web-based report building (limited).</t>
  </si>
  <si>
    <t xml:space="preserve">20 · INTERVIEW QUESTIONS — data analyst / project coordinator Excel</t>
  </si>
  <si>
    <t xml:space="preserve">Answer each question out loud before checking 99_Solutions. For a Senior Project Coordinator role at Rapport, interviewers usually ask a mix of definitions (Q1–5), scenario judgement (Q6–10) and applied demos (Q11–15).</t>
  </si>
  <si>
    <t xml:space="preserve">Question</t>
  </si>
  <si>
    <t xml:space="preserve">Your answer (or notes)</t>
  </si>
  <si>
    <t xml:space="preserve">What is the difference between VLOOKUP and XLOOKUP?</t>
  </si>
  <si>
    <t xml:space="preserve">When would you use SUMIFS instead of a Pivot Table?</t>
  </si>
  <si>
    <t xml:space="preserve">What does $ do in a cell reference?</t>
  </si>
  <si>
    <t xml:space="preserve">Name three things Power Query can do that formulas can't.</t>
  </si>
  <si>
    <t xml:space="preserve">What is a Slicer and why use one?</t>
  </si>
  <si>
    <t xml:space="preserve">6</t>
  </si>
  <si>
    <t xml:space="preserve">You receive a monthly ticket export from a service provider. How would you process it?</t>
  </si>
  <si>
    <t xml:space="preserve">7</t>
  </si>
  <si>
    <t xml:space="preserve">A VLOOKUP returns a lookup-error value for 50 of 200 rows. What are the first three things you check?</t>
  </si>
  <si>
    <t xml:space="preserve">8</t>
  </si>
  <si>
    <t xml:space="preserve">How would you show 'top 5 providers by total cost'?</t>
  </si>
  <si>
    <t xml:space="preserve">9</t>
  </si>
  <si>
    <t xml:space="preserve">Describe how you'd build a weekly KPI report that refreshes automatically.</t>
  </si>
  <si>
    <t xml:space="preserve">10</t>
  </si>
  <si>
    <t xml:space="preserve">The FM Manager wants to see 'open critical tickets older than 7 days' on the front page. How?</t>
  </si>
  <si>
    <t xml:space="preserve">11</t>
  </si>
  <si>
    <t xml:space="preserve">What's the difference between a table (Ctrl+T) and a plain range?</t>
  </si>
  <si>
    <t xml:space="preserve">12</t>
  </si>
  <si>
    <t xml:space="preserve">Walk me through INDEX/MATCH.</t>
  </si>
  <si>
    <t xml:space="preserve">13</t>
  </si>
  <si>
    <t xml:space="preserve">How would you validate that two lists of StoreIDs match?</t>
  </si>
  <si>
    <t xml:space="preserve">14</t>
  </si>
  <si>
    <t xml:space="preserve">A pivot shows the wrong totals for percentages. Why?</t>
  </si>
  <si>
    <t xml:space="preserve">15</t>
  </si>
  <si>
    <t xml:space="preserve">How do you make a report 'audit-ready'?</t>
  </si>
  <si>
    <t xml:space="preserve">99 · SOLUTIONS — check AFTER you try</t>
  </si>
  <si>
    <t xml:space="preserve">This sheet has complete answers for every PRACTICE and CHALLENGE in the workbook, plus the interview Qs.</t>
  </si>
  <si>
    <t xml:space="preserve">  01_Foundations — practice answers</t>
  </si>
  <si>
    <t xml:space="preserve">Answer</t>
  </si>
  <si>
    <t xml:space="preserve">Sum of H2:H8</t>
  </si>
  <si>
    <t xml:space="preserve">Count 'Closed' in I2:I8</t>
  </si>
  <si>
    <t xml:space="preserve"> =AVERAGE(H2:H8)</t>
  </si>
  <si>
    <t xml:space="preserve">IF sum &gt; 500 → 'Big' else 'Small'</t>
  </si>
  <si>
    <t xml:space="preserve">Today's date as dd-mmm-yyyy</t>
  </si>
  <si>
    <t xml:space="preserve">  11_VLOOKUP_XLOOKUP — practice answers</t>
  </si>
  <si>
    <t xml:space="preserve">Col</t>
  </si>
  <si>
    <t xml:space="preserve">Field</t>
  </si>
  <si>
    <t xml:space="preserve">Formula</t>
  </si>
  <si>
    <t xml:space="preserve"> =VLOOKUP(c{row},'02_Stores'!$A$3:$H$32,2,FALSE())</t>
  </si>
  <si>
    <t xml:space="preserve"> =VLOOKUP(c{row},'02_Stores'!$A$3:$H$32,3,FALSE())</t>
  </si>
  <si>
    <t xml:space="preserve"> =xlookup(d{row},'04_Providers'!$A$3:$A$10,'04_Providers'!$B$3:$B$10,"Not Found")</t>
  </si>
  <si>
    <t xml:space="preserve"> =xlookup(d{row},'04_Providers'!$A$3:$A$10,'04_Providers'!$C$3:$C$10,"Not Found")</t>
  </si>
  <si>
    <t xml:space="preserve"> =xlookup(d{row},'04_Providers'!$A$3:$A$10,'04_Providers'!$E$3:$E$10,0)</t>
  </si>
  <si>
    <t xml:space="preserve">CHALLENGE 1 (two-way lookup):  =SUMIFS('06_Tickets'!$I$3:$I$222, '06_Tickets'!$C$3:$C$222, StoreID, '06_Tickets'!$G$3:$G$222, Priority)</t>
  </si>
  <si>
    <t xml:space="preserve">CHALLENGE 2 (reverse lookup):  XLOOKUP works directly:  =XLOOKUP("Rapport London Flagship", '02_Stores'!$B$3:$B$32, '02_Stores'!$A$3:$A$32)
With VLOOKUP you would need to rearrange the source columns.</t>
  </si>
  <si>
    <t xml:space="preserve">CHALLENGE 3 (IFERROR wrap):  =IFERROR(VLOOKUP(C4,'02_Stores'!$A$3:$H$32,2,FALSE), "Not on file")</t>
  </si>
  <si>
    <t xml:space="preserve">  07_MessyData — the seven problems</t>
  </si>
  <si>
    <t xml:space="preserve">Problem</t>
  </si>
  <si>
    <t xml:space="preserve">Fix</t>
  </si>
  <si>
    <t xml:space="preserve">Mixed date formats (DD/MM/YYYY, DD-MM-YYYY, YYYY-MM-DD)</t>
  </si>
  <si>
    <t xml:space="preserve">Power Query 'Using Locale → UK Date'.</t>
  </si>
  <si>
    <t xml:space="preserve">Leading/trailing whitespace in StoreID (' ST1007', 'ST1008 ')</t>
  </si>
  <si>
    <t xml:space="preserve">Transform → Trim.</t>
  </si>
  <si>
    <t xml:space="preserve">Inconsistent casing in Priority &amp; Status ('closed', 'CLOSED', 'Closed')</t>
  </si>
  <si>
    <t xml:space="preserve">Capitalize Each Word.</t>
  </si>
  <si>
    <t xml:space="preserve">Cost column mixes '£250' text and '250' numbers</t>
  </si>
  <si>
    <t xml:space="preserve">Replace Values → remove '£', then Data Type → Decimal.</t>
  </si>
  <si>
    <t xml:space="preserve">Duplicate row (TK2025002 appears twice)</t>
  </si>
  <si>
    <t xml:space="preserve">Remove Duplicates.</t>
  </si>
  <si>
    <t xml:space="preserve">Blank cells (LogDate missing on row 5, Status missing on row 7)</t>
  </si>
  <si>
    <t xml:space="preserve">Remove Blank Rows OR Fill Down.</t>
  </si>
  <si>
    <t xml:space="preserve">Provider name typo ('Mercury Facilities' vs 'Mercury Facilities Ltd')</t>
  </si>
  <si>
    <t xml:space="preserve">Replace Values.</t>
  </si>
  <si>
    <t xml:space="preserve">  20_Interview_Qs — model answers</t>
  </si>
  <si>
    <t xml:space="preserve">Model answer</t>
  </si>
  <si>
    <t xml:space="preserve">XLOOKUP works in any direction, returns 'if not found' built-in, defaults to exact match. VLOOKUP only looks right and needs 4 args.</t>
  </si>
  <si>
    <t xml:space="preserve">When the destination cell needs to be in a specific layout (e.g. a management report where cells are in fixed positions), or when sharing with someone who won't refresh the pivot.</t>
  </si>
  <si>
    <t xml:space="preserve">Locks that part of the reference when copying. $A$1 stays fixed; A1 changes relative to the new position.</t>
  </si>
  <si>
    <t xml:space="preserve">Handle millions of rows, import from folders/web/SharePoint, persist cleaning steps that re-run on refresh.</t>
  </si>
  <si>
    <t xml:space="preserve">A visual filter button set. Click to filter one or many pivots / charts simultaneously — much faster than filter drop-downs for users.</t>
  </si>
  <si>
    <t xml:space="preserve">Save to a watched folder → Power Query 'From Folder' → merges all past exports → cleans columns → loads to a table → connects to a dashboard. Next month, just drop the new file in and Refresh.</t>
  </si>
  <si>
    <t xml:space="preserve">1) Leading/trailing spaces in the lookup key (use TRIM), 2) text vs number mismatch (format both as text), 3) lookup column is actually the leftmost column of the range.</t>
  </si>
  <si>
    <t xml:space="preserve">Pivot of Provider × Cost → sort descending → right-click → Filter → Top 10 → change 10 to 5.</t>
  </si>
  <si>
    <t xml:space="preserve">Data imported with Power Query (from a shared folder or SQL), Pivot Tables built on the query, dashboard sheet with KPI formulas linked to those pivots, Refresh All bound to a keyboard shortcut or macro. If Power BI is available, schedule refresh on publish.</t>
  </si>
  <si>
    <t xml:space="preserve">Helper column on the ticket table: =IF(AND(Priority="Critical",Status&lt;&gt;"Closed",TODAY()-LogDate&gt;7),1,0). Then a KPI card or filtered table using that flag. Could also do with a dynamic array FILTER function.</t>
  </si>
  <si>
    <t xml:space="preserve">A Table auto-expands, has structured references (tblTickets[Cost_GBP]), keeps formatting consistent, and is the safest source for pivots and Power Query.</t>
  </si>
  <si>
    <t xml:space="preserve"> =INDEX(return_range, MATCH(lookup_value, lookup_range, 0)). index returns the cell at a position; match finds that position. older flexible alternative to vlookup/xlookup.</t>
  </si>
  <si>
    <t xml:space="preserve">COUNTIF in both directions: =COUNTIF(ListB, ListA_cell) will return 0 for anything in A that's not in B. Or use UNIQUE + FILTER + a simple XOR check.</t>
  </si>
  <si>
    <t xml:space="preserve">Pivots default to Sum/Count. For percentages you usually want 'Show Values As → % of Column Total / % of Grand Total', NOT sum of per-row percentages.</t>
  </si>
  <si>
    <t xml:space="preserve">Document the source of every number (cell comments), lock formulas (Protect Sheet), show the refresh date (=TEXT(TODAY(),"dd-mmm-yyyy")), use colour coding (blue=input, black=formula), and keep a version history.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</si>
</sst>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-mmm\-yyyy"/>
    <numFmt numFmtId="167" formatCode="\£#,##0"/>
    <numFmt numFmtId="168" formatCode="0.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C00000"/>
      <name val="Consolas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4A7EBB"/>
      </patternFill>
    </fill>
    <fill>
      <patternFill patternType="solid">
        <fgColor rgb="FFF8CBAD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9F9F9"/>
      <rgbColor rgb="FF99CCFF"/>
      <rgbColor rgb="FFFF99CC"/>
      <rgbColor rgb="FFCC99FF"/>
      <rgbColor rgb="FFF8CBAD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Cost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'12_Dashboards'!D17</c:f>
              <c:strCache>
                <c:ptCount val="1"/>
                <c:pt idx="0">
                  <c:v>Cost (£)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'12_Dashboards'!$B$18:$B$21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'12_Dashboards'!$D$18:$D$21</c:f>
              <c:numCache>
                <c:formatCode>\£#,##0</c:formatCode>
                <c:ptCount val="4"/>
                <c:pt idx="0">
                  <c:v>53660</c:v>
                </c:pt>
                <c:pt idx="1">
                  <c:v>74870</c:v>
                </c:pt>
                <c:pt idx="2">
                  <c:v>37030</c:v>
                </c:pt>
                <c:pt idx="3">
                  <c:v>18520</c:v>
                </c:pt>
              </c:numCache>
            </c:numRef>
          </c:val>
        </c:ser>
        <c:gapWidth val="150"/>
        <c:overlap val="0"/>
        <c:axId val="18233365"/>
        <c:axId val="42640274"/>
      </c:barChart>
      <c:catAx>
        <c:axId val="182333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Priority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40274"/>
        <c:crosses val="autoZero"/>
        <c:auto val="1"/>
        <c:lblAlgn val="ctr"/>
        <c:lblOffset val="100"/>
        <c:noMultiLvlLbl val="0"/>
      </c:catAx>
      <c:valAx>
        <c:axId val="42640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Cost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2333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'12_Dashboards'!G17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'12_Dashboards'!$F$18:$F$22</c:f>
              <c:strCache>
                <c:ptCount val="5"/>
                <c:pt idx="0">
                  <c:v>Open</c:v>
                </c:pt>
                <c:pt idx="1">
                  <c:v>In Progress</c:v>
                </c:pt>
                <c:pt idx="2">
                  <c:v>Awaiting Parts</c:v>
                </c:pt>
                <c:pt idx="3">
                  <c:v>Closed</c:v>
                </c:pt>
                <c:pt idx="4">
                  <c:v>Escalated</c:v>
                </c:pt>
              </c:strCache>
            </c:strRef>
          </c:cat>
          <c:val>
            <c:numRef>
              <c:f>'12_Dashboards'!$G$18:$G$22</c:f>
              <c:numCache>
                <c:formatCode>#,##0</c:formatCode>
                <c:ptCount val="5"/>
                <c:pt idx="0">
                  <c:v>36</c:v>
                </c:pt>
                <c:pt idx="1">
                  <c:v>51</c:v>
                </c:pt>
                <c:pt idx="2">
                  <c:v>21</c:v>
                </c:pt>
                <c:pt idx="3">
                  <c:v>103</c:v>
                </c:pt>
                <c:pt idx="4">
                  <c:v>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Cost Trend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'12_Dashboards'!L17</c:f>
              <c:strCache>
                <c:ptCount val="1"/>
                <c:pt idx="0">
                  <c:v>Cost (£)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'12_Dashboards'!$J$18:$J$21</c:f>
              <c:strCache>
                <c:ptCount val="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</c:strCache>
            </c:strRef>
          </c:cat>
          <c:val>
            <c:numRef>
              <c:f>'12_Dashboards'!$L$18:$L$21</c:f>
              <c:numCache>
                <c:formatCode>\£#,##0</c:formatCode>
                <c:ptCount val="4"/>
                <c:pt idx="0">
                  <c:v>58245</c:v>
                </c:pt>
                <c:pt idx="1">
                  <c:v>36640</c:v>
                </c:pt>
                <c:pt idx="2">
                  <c:v>41800</c:v>
                </c:pt>
                <c:pt idx="3">
                  <c:v>47395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956198"/>
        <c:axId val="44273475"/>
      </c:lineChart>
      <c:catAx>
        <c:axId val="73956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273475"/>
        <c:crosses val="autoZero"/>
        <c:auto val="1"/>
        <c:lblAlgn val="ctr"/>
        <c:lblOffset val="100"/>
        <c:noMultiLvlLbl val="0"/>
      </c:catAx>
      <c:valAx>
        <c:axId val="44273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Cost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9561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4</xdr:col>
      <xdr:colOff>386280</xdr:colOff>
      <xdr:row>38</xdr:row>
      <xdr:rowOff>20880</xdr:rowOff>
    </xdr:to>
    <xdr:graphicFrame>
      <xdr:nvGraphicFramePr>
        <xdr:cNvPr id="1" name="Chart 1"/>
        <xdr:cNvGraphicFramePr/>
      </xdr:nvGraphicFramePr>
      <xdr:xfrm>
        <a:off x="211320" y="5657760"/>
        <a:ext cx="503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9</xdr:col>
      <xdr:colOff>386280</xdr:colOff>
      <xdr:row>38</xdr:row>
      <xdr:rowOff>20880</xdr:rowOff>
    </xdr:to>
    <xdr:graphicFrame>
      <xdr:nvGraphicFramePr>
        <xdr:cNvPr id="2" name="Chart 2"/>
        <xdr:cNvGraphicFramePr/>
      </xdr:nvGraphicFramePr>
      <xdr:xfrm>
        <a:off x="7964640" y="5657760"/>
        <a:ext cx="503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4</xdr:col>
      <xdr:colOff>386280</xdr:colOff>
      <xdr:row>55</xdr:row>
      <xdr:rowOff>20880</xdr:rowOff>
    </xdr:to>
    <xdr:graphicFrame>
      <xdr:nvGraphicFramePr>
        <xdr:cNvPr id="3" name="Chart 3"/>
        <xdr:cNvGraphicFramePr/>
      </xdr:nvGraphicFramePr>
      <xdr:xfrm>
        <a:off x="211320" y="8896320"/>
        <a:ext cx="503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60"/>
    <col collapsed="false" customWidth="true" hidden="false" outlineLevel="0" max="4" min="4" style="1" width="28"/>
    <col collapsed="false" customWidth="true" hidden="false" outlineLevel="0" max="12" min="5" style="1" width="12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1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21.75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1.75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21.75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2" customFormat="false" ht="21.75" hidden="false" customHeight="true" outlineLevel="0" collapsed="false">
      <c r="A12" s="4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B13" s="6" t="s">
        <v>10</v>
      </c>
      <c r="C13" s="6" t="s">
        <v>11</v>
      </c>
    </row>
    <row r="14" customFormat="false" ht="15" hidden="false" customHeight="true" outlineLevel="0" collapsed="false">
      <c r="B14" s="7" t="s">
        <v>12</v>
      </c>
      <c r="C14" s="8" t="s">
        <v>13</v>
      </c>
    </row>
    <row r="15" customFormat="false" ht="15" hidden="false" customHeight="true" outlineLevel="0" collapsed="false">
      <c r="B15" s="7" t="s">
        <v>14</v>
      </c>
      <c r="C15" s="8" t="s">
        <v>15</v>
      </c>
    </row>
    <row r="16" customFormat="false" ht="15" hidden="false" customHeight="true" outlineLevel="0" collapsed="false">
      <c r="B16" s="7" t="s">
        <v>16</v>
      </c>
      <c r="C16" s="8" t="s">
        <v>17</v>
      </c>
    </row>
    <row r="17" customFormat="false" ht="15" hidden="false" customHeight="true" outlineLevel="0" collapsed="false">
      <c r="B17" s="7" t="s">
        <v>18</v>
      </c>
      <c r="C17" s="8" t="s">
        <v>19</v>
      </c>
    </row>
    <row r="18" customFormat="false" ht="15" hidden="false" customHeight="true" outlineLevel="0" collapsed="false">
      <c r="B18" s="7" t="s">
        <v>20</v>
      </c>
      <c r="C18" s="8" t="s">
        <v>21</v>
      </c>
    </row>
    <row r="19" customFormat="false" ht="15" hidden="false" customHeight="true" outlineLevel="0" collapsed="false">
      <c r="B19" s="7" t="s">
        <v>22</v>
      </c>
      <c r="C19" s="8" t="s">
        <v>23</v>
      </c>
    </row>
    <row r="20" customFormat="false" ht="15" hidden="false" customHeight="true" outlineLevel="0" collapsed="false">
      <c r="B20" s="7" t="s">
        <v>24</v>
      </c>
      <c r="C20" s="8" t="s">
        <v>25</v>
      </c>
    </row>
    <row r="21" customFormat="false" ht="15" hidden="false" customHeight="true" outlineLevel="0" collapsed="false">
      <c r="B21" s="7" t="s">
        <v>26</v>
      </c>
      <c r="C21" s="8" t="s">
        <v>27</v>
      </c>
    </row>
    <row r="22" customFormat="false" ht="15" hidden="false" customHeight="true" outlineLevel="0" collapsed="false">
      <c r="B22" s="7" t="s">
        <v>28</v>
      </c>
      <c r="C22" s="8" t="s">
        <v>29</v>
      </c>
    </row>
    <row r="23" customFormat="false" ht="15" hidden="false" customHeight="true" outlineLevel="0" collapsed="false">
      <c r="B23" s="7" t="s">
        <v>30</v>
      </c>
      <c r="C23" s="8" t="s">
        <v>31</v>
      </c>
    </row>
    <row r="24" customFormat="false" ht="15" hidden="false" customHeight="true" outlineLevel="0" collapsed="false">
      <c r="B24" s="7" t="s">
        <v>32</v>
      </c>
      <c r="C24" s="8" t="s">
        <v>33</v>
      </c>
    </row>
    <row r="25" customFormat="false" ht="15" hidden="false" customHeight="true" outlineLevel="0" collapsed="false">
      <c r="B25" s="7" t="s">
        <v>34</v>
      </c>
      <c r="C25" s="8" t="s">
        <v>35</v>
      </c>
    </row>
    <row r="26" customFormat="false" ht="15" hidden="false" customHeight="true" outlineLevel="0" collapsed="false">
      <c r="B26" s="7" t="s">
        <v>36</v>
      </c>
      <c r="C26" s="8" t="s">
        <v>37</v>
      </c>
    </row>
    <row r="27" customFormat="false" ht="15" hidden="false" customHeight="true" outlineLevel="0" collapsed="false">
      <c r="B27" s="7" t="s">
        <v>38</v>
      </c>
      <c r="C27" s="8" t="s">
        <v>39</v>
      </c>
    </row>
    <row r="28" customFormat="false" ht="15" hidden="false" customHeight="true" outlineLevel="0" collapsed="false">
      <c r="B28" s="7" t="s">
        <v>40</v>
      </c>
      <c r="C28" s="8" t="s">
        <v>41</v>
      </c>
    </row>
    <row r="30" customFormat="false" ht="21.75" hidden="false" customHeight="true" outlineLevel="0" collapsed="false">
      <c r="A30" s="4" t="s">
        <v>42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true" outlineLevel="0" collapsed="false">
      <c r="B31" s="6" t="s">
        <v>43</v>
      </c>
      <c r="C31" s="6" t="s">
        <v>44</v>
      </c>
    </row>
    <row r="32" customFormat="false" ht="26.25" hidden="false" customHeight="true" outlineLevel="0" collapsed="false">
      <c r="B32" s="9" t="s">
        <v>45</v>
      </c>
      <c r="C32" s="8" t="s">
        <v>46</v>
      </c>
    </row>
    <row r="33" customFormat="false" ht="26.25" hidden="false" customHeight="true" outlineLevel="0" collapsed="false">
      <c r="B33" s="9" t="s">
        <v>47</v>
      </c>
      <c r="C33" s="8" t="s">
        <v>48</v>
      </c>
    </row>
    <row r="34" customFormat="false" ht="26.25" hidden="false" customHeight="true" outlineLevel="0" collapsed="false">
      <c r="B34" s="9" t="s">
        <v>49</v>
      </c>
      <c r="C34" s="8" t="s">
        <v>50</v>
      </c>
    </row>
    <row r="35" customFormat="false" ht="15" hidden="false" customHeight="true" outlineLevel="0" collapsed="false">
      <c r="B35" s="9" t="s">
        <v>51</v>
      </c>
      <c r="C35" s="8" t="s">
        <v>52</v>
      </c>
    </row>
    <row r="36" customFormat="false" ht="26.25" hidden="false" customHeight="true" outlineLevel="0" collapsed="false">
      <c r="B36" s="9" t="s">
        <v>53</v>
      </c>
      <c r="C36" s="8" t="s">
        <v>54</v>
      </c>
    </row>
    <row r="37" customFormat="false" ht="26.25" hidden="false" customHeight="true" outlineLevel="0" collapsed="false">
      <c r="B37" s="9" t="s">
        <v>55</v>
      </c>
      <c r="C37" s="8" t="s">
        <v>56</v>
      </c>
    </row>
    <row r="38" customFormat="false" ht="26.25" hidden="false" customHeight="true" outlineLevel="0" collapsed="false">
      <c r="B38" s="9" t="s">
        <v>57</v>
      </c>
      <c r="C38" s="8" t="s">
        <v>58</v>
      </c>
    </row>
    <row r="41" customFormat="false" ht="30" hidden="false" customHeight="true" outlineLevel="0" collapsed="false">
      <c r="A41" s="10" t="s">
        <v>59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3" customFormat="false" ht="61.5" hidden="false" customHeight="true" outlineLevel="0" collapsed="false">
      <c r="A43" s="11" t="s">
        <v>60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</sheetData>
  <mergeCells count="13">
    <mergeCell ref="A1:L1"/>
    <mergeCell ref="A2:L2"/>
    <mergeCell ref="A4:L4"/>
    <mergeCell ref="A5:L5"/>
    <mergeCell ref="A6:L6"/>
    <mergeCell ref="A7:L7"/>
    <mergeCell ref="A8:L8"/>
    <mergeCell ref="A9:L9"/>
    <mergeCell ref="A10:L10"/>
    <mergeCell ref="A12:L12"/>
    <mergeCell ref="A30:L30"/>
    <mergeCell ref="A41:L41"/>
    <mergeCell ref="A43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12" min="5" style="1" width="20"/>
  </cols>
  <sheetData>
    <row r="1" customFormat="false" ht="36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63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1.75" hidden="false" customHeight="true" outlineLevel="0" collapsed="false">
      <c r="A5" s="5" t="s">
        <v>64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1.75" hidden="false" customHeight="true" outlineLevel="0" collapsed="false">
      <c r="A6" s="5" t="s">
        <v>65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5" t="s">
        <v>66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21.75" hidden="false" customHeight="true" outlineLevel="0" collapsed="false">
      <c r="A8" s="5" t="s">
        <v>67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1.75" hidden="false" customHeight="true" outlineLevel="0" collapsed="false">
      <c r="A9" s="5" t="s">
        <v>68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21.75" hidden="false" customHeight="true" outlineLevel="0" collapsed="false">
      <c r="A10" s="5" t="s">
        <v>69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2" customFormat="false" ht="21.75" hidden="false" customHeight="true" outlineLevel="0" collapsed="false">
      <c r="A12" s="4" t="s">
        <v>70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B13" s="6" t="s">
        <v>71</v>
      </c>
      <c r="C13" s="6" t="s">
        <v>72</v>
      </c>
      <c r="D13" s="6" t="s">
        <v>73</v>
      </c>
    </row>
    <row r="14" customFormat="false" ht="15" hidden="false" customHeight="true" outlineLevel="0" collapsed="false">
      <c r="B14" s="9" t="s">
        <v>74</v>
      </c>
      <c r="C14" s="12" t="n">
        <f aca="false">SUM(B2:B20)</f>
        <v>0</v>
      </c>
      <c r="D14" s="8" t="s">
        <v>75</v>
      </c>
    </row>
    <row r="15" customFormat="false" ht="15" hidden="false" customHeight="true" outlineLevel="0" collapsed="false">
      <c r="B15" s="9" t="s">
        <v>76</v>
      </c>
      <c r="C15" s="12" t="s">
        <v>77</v>
      </c>
      <c r="D15" s="8" t="s">
        <v>78</v>
      </c>
    </row>
    <row r="16" customFormat="false" ht="15" hidden="false" customHeight="true" outlineLevel="0" collapsed="false">
      <c r="B16" s="9" t="s">
        <v>79</v>
      </c>
      <c r="C16" s="12" t="n">
        <f aca="false">COUNT(B2:B20)</f>
        <v>0</v>
      </c>
      <c r="D16" s="8" t="s">
        <v>80</v>
      </c>
    </row>
    <row r="17" customFormat="false" ht="15" hidden="false" customHeight="true" outlineLevel="0" collapsed="false">
      <c r="B17" s="9" t="s">
        <v>81</v>
      </c>
      <c r="C17" s="12" t="n">
        <f aca="false">COUNTA(B2:B20)</f>
        <v>8</v>
      </c>
      <c r="D17" s="8" t="s">
        <v>82</v>
      </c>
    </row>
    <row r="18" customFormat="false" ht="15" hidden="false" customHeight="true" outlineLevel="0" collapsed="false">
      <c r="B18" s="9" t="s">
        <v>83</v>
      </c>
      <c r="C18" s="12" t="n">
        <f aca="false">COUNTIF(C2:C20,"Closed")</f>
        <v>0</v>
      </c>
      <c r="D18" s="8" t="s">
        <v>84</v>
      </c>
    </row>
    <row r="19" customFormat="false" ht="15" hidden="false" customHeight="true" outlineLevel="0" collapsed="false">
      <c r="B19" s="9" t="s">
        <v>85</v>
      </c>
      <c r="C19" s="12" t="n">
        <f aca="false">SUMIF(C2:C20,"Closed",D2:D20)</f>
        <v>0</v>
      </c>
      <c r="D19" s="8" t="s">
        <v>86</v>
      </c>
    </row>
    <row r="20" customFormat="false" ht="15" hidden="false" customHeight="true" outlineLevel="0" collapsed="false">
      <c r="B20" s="9" t="s">
        <v>87</v>
      </c>
      <c r="C20" s="12" t="n">
        <f aca="false">SUMIFS(D2:D20,C2:C20,"Closed",B2:B20,"High")</f>
        <v>0</v>
      </c>
      <c r="D20" s="8" t="s">
        <v>88</v>
      </c>
    </row>
    <row r="21" customFormat="false" ht="15" hidden="false" customHeight="true" outlineLevel="0" collapsed="false">
      <c r="B21" s="9" t="s">
        <v>89</v>
      </c>
      <c r="C21" s="12" t="str">
        <f aca="false">IF(A1&gt;100,"Over","Under")</f>
        <v>Over</v>
      </c>
      <c r="D21" s="8" t="s">
        <v>90</v>
      </c>
    </row>
    <row r="22" customFormat="false" ht="15" hidden="false" customHeight="true" outlineLevel="0" collapsed="false">
      <c r="B22" s="9" t="s">
        <v>91</v>
      </c>
      <c r="C22" s="12" t="s">
        <v>92</v>
      </c>
      <c r="D22" s="8" t="s">
        <v>93</v>
      </c>
    </row>
    <row r="23" customFormat="false" ht="15" hidden="false" customHeight="true" outlineLevel="0" collapsed="false">
      <c r="B23" s="9" t="s">
        <v>94</v>
      </c>
      <c r="C23" s="12" t="str">
        <f aca="true">TEXT(TODAY(),"dd-mmm-yyyy")</f>
        <v>24-Apr-2026</v>
      </c>
      <c r="D23" s="8" t="s">
        <v>95</v>
      </c>
    </row>
    <row r="25" customFormat="false" ht="21.75" hidden="false" customHeight="true" outlineLevel="0" collapsed="false">
      <c r="A25" s="4" t="s">
        <v>96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9.5" hidden="false" customHeight="true" outlineLevel="0" collapsed="false">
      <c r="A26" s="13" t="s">
        <v>97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15" hidden="false" customHeight="true" outlineLevel="0" collapsed="false">
      <c r="B27" s="14" t="s">
        <v>98</v>
      </c>
      <c r="C27" s="6" t="s">
        <v>99</v>
      </c>
      <c r="D27" s="6" t="s">
        <v>100</v>
      </c>
      <c r="H27" s="14" t="s">
        <v>101</v>
      </c>
      <c r="I27" s="14" t="s">
        <v>102</v>
      </c>
    </row>
    <row r="28" customFormat="false" ht="15" hidden="false" customHeight="true" outlineLevel="0" collapsed="false">
      <c r="B28" s="15" t="s">
        <v>103</v>
      </c>
      <c r="C28" s="8" t="s">
        <v>104</v>
      </c>
      <c r="D28" s="16"/>
      <c r="H28" s="17" t="n">
        <v>10</v>
      </c>
      <c r="I28" s="17" t="s">
        <v>105</v>
      </c>
    </row>
    <row r="29" customFormat="false" ht="15" hidden="false" customHeight="true" outlineLevel="0" collapsed="false">
      <c r="B29" s="15" t="s">
        <v>106</v>
      </c>
      <c r="C29" s="8" t="s">
        <v>107</v>
      </c>
      <c r="D29" s="16"/>
      <c r="H29" s="17" t="n">
        <v>20</v>
      </c>
      <c r="I29" s="17" t="s">
        <v>108</v>
      </c>
    </row>
    <row r="30" customFormat="false" ht="15" hidden="false" customHeight="true" outlineLevel="0" collapsed="false">
      <c r="B30" s="15" t="s">
        <v>109</v>
      </c>
      <c r="C30" s="8" t="s">
        <v>110</v>
      </c>
      <c r="D30" s="16"/>
      <c r="H30" s="17" t="n">
        <v>30</v>
      </c>
      <c r="I30" s="17" t="s">
        <v>108</v>
      </c>
    </row>
    <row r="31" customFormat="false" ht="26.25" hidden="false" customHeight="true" outlineLevel="0" collapsed="false">
      <c r="B31" s="15" t="s">
        <v>111</v>
      </c>
      <c r="C31" s="8" t="s">
        <v>112</v>
      </c>
      <c r="D31" s="16"/>
      <c r="H31" s="17" t="n">
        <v>150</v>
      </c>
      <c r="I31" s="17" t="s">
        <v>113</v>
      </c>
    </row>
    <row r="32" customFormat="false" ht="26.25" hidden="false" customHeight="true" outlineLevel="0" collapsed="false">
      <c r="B32" s="15" t="s">
        <v>114</v>
      </c>
      <c r="C32" s="8" t="s">
        <v>115</v>
      </c>
      <c r="D32" s="16"/>
      <c r="H32" s="17" t="n">
        <v>75</v>
      </c>
      <c r="I32" s="17" t="s">
        <v>108</v>
      </c>
    </row>
    <row r="33" customFormat="false" ht="15" hidden="false" customHeight="true" outlineLevel="0" collapsed="false">
      <c r="H33" s="17" t="n">
        <v>200</v>
      </c>
      <c r="I33" s="17" t="s">
        <v>105</v>
      </c>
    </row>
    <row r="34" customFormat="false" ht="21.75" hidden="false" customHeight="true" outlineLevel="0" collapsed="false">
      <c r="A34" s="4" t="s">
        <v>116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true" outlineLevel="0" collapsed="false">
      <c r="B35" s="6" t="s">
        <v>117</v>
      </c>
      <c r="C35" s="6" t="s">
        <v>73</v>
      </c>
    </row>
    <row r="36" customFormat="false" ht="15" hidden="false" customHeight="true" outlineLevel="0" collapsed="false">
      <c r="B36" s="12" t="s">
        <v>118</v>
      </c>
      <c r="C36" s="8" t="s">
        <v>119</v>
      </c>
    </row>
    <row r="37" customFormat="false" ht="15" hidden="false" customHeight="true" outlineLevel="0" collapsed="false">
      <c r="B37" s="12" t="s">
        <v>120</v>
      </c>
      <c r="C37" s="8" t="s">
        <v>121</v>
      </c>
    </row>
    <row r="38" customFormat="false" ht="15" hidden="false" customHeight="true" outlineLevel="0" collapsed="false">
      <c r="B38" s="12" t="s">
        <v>122</v>
      </c>
      <c r="C38" s="8" t="s">
        <v>123</v>
      </c>
    </row>
    <row r="39" customFormat="false" ht="23.25" hidden="false" customHeight="true" outlineLevel="0" collapsed="false">
      <c r="B39" s="12" t="s">
        <v>124</v>
      </c>
      <c r="C39" s="8" t="s">
        <v>125</v>
      </c>
    </row>
    <row r="40" customFormat="false" ht="26.25" hidden="false" customHeight="true" outlineLevel="0" collapsed="false">
      <c r="B40" s="12" t="s">
        <v>126</v>
      </c>
      <c r="C40" s="8" t="s">
        <v>127</v>
      </c>
    </row>
    <row r="41" customFormat="false" ht="15" hidden="false" customHeight="true" outlineLevel="0" collapsed="false">
      <c r="B41" s="12" t="s">
        <v>128</v>
      </c>
      <c r="C41" s="8" t="s">
        <v>129</v>
      </c>
    </row>
    <row r="42" customFormat="false" ht="15" hidden="false" customHeight="true" outlineLevel="0" collapsed="false">
      <c r="B42" s="12" t="s">
        <v>130</v>
      </c>
      <c r="C42" s="8" t="s">
        <v>131</v>
      </c>
    </row>
    <row r="43" customFormat="false" ht="15" hidden="false" customHeight="true" outlineLevel="0" collapsed="false">
      <c r="B43" s="12" t="s">
        <v>132</v>
      </c>
      <c r="C43" s="8" t="s">
        <v>133</v>
      </c>
    </row>
    <row r="44" customFormat="false" ht="15" hidden="false" customHeight="true" outlineLevel="0" collapsed="false">
      <c r="B44" s="12" t="s">
        <v>134</v>
      </c>
      <c r="C44" s="8" t="s">
        <v>135</v>
      </c>
    </row>
    <row r="45" customFormat="false" ht="15" hidden="false" customHeight="true" outlineLevel="0" collapsed="false">
      <c r="B45" s="12" t="s">
        <v>136</v>
      </c>
      <c r="C45" s="8" t="s">
        <v>137</v>
      </c>
    </row>
    <row r="46" customFormat="false" ht="23.25" hidden="false" customHeight="true" outlineLevel="0" collapsed="false">
      <c r="B46" s="12" t="s">
        <v>138</v>
      </c>
      <c r="C46" s="8" t="s">
        <v>139</v>
      </c>
    </row>
    <row r="47" customFormat="false" ht="15" hidden="false" customHeight="true" outlineLevel="0" collapsed="false">
      <c r="B47" s="12" t="s">
        <v>140</v>
      </c>
      <c r="C47" s="8" t="s">
        <v>141</v>
      </c>
    </row>
  </sheetData>
  <mergeCells count="13">
    <mergeCell ref="A1:L1"/>
    <mergeCell ref="A2:L2"/>
    <mergeCell ref="A4:L4"/>
    <mergeCell ref="A5:L5"/>
    <mergeCell ref="A6:L6"/>
    <mergeCell ref="A7:L7"/>
    <mergeCell ref="A8:L8"/>
    <mergeCell ref="A9:L9"/>
    <mergeCell ref="A10:L10"/>
    <mergeCell ref="A12:L12"/>
    <mergeCell ref="A25:L25"/>
    <mergeCell ref="A26:L26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31.5" hidden="false" customHeight="true" outlineLevel="0" collapsed="false">
      <c r="A1" s="2" t="s">
        <v>142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18" t="s">
        <v>143</v>
      </c>
      <c r="B2" s="18" t="s">
        <v>144</v>
      </c>
      <c r="C2" s="18" t="s">
        <v>145</v>
      </c>
      <c r="D2" s="18" t="s">
        <v>146</v>
      </c>
      <c r="E2" s="18" t="s">
        <v>147</v>
      </c>
      <c r="F2" s="18" t="s">
        <v>148</v>
      </c>
      <c r="G2" s="18" t="s">
        <v>149</v>
      </c>
      <c r="H2" s="18" t="s">
        <v>150</v>
      </c>
    </row>
    <row r="3" customFormat="false" ht="26.25" hidden="false" customHeight="true" outlineLevel="0" collapsed="false">
      <c r="A3" s="17" t="s">
        <v>151</v>
      </c>
      <c r="B3" s="8" t="s">
        <v>152</v>
      </c>
      <c r="C3" s="17" t="s">
        <v>153</v>
      </c>
      <c r="D3" s="8" t="s">
        <v>154</v>
      </c>
      <c r="E3" s="8" t="s">
        <v>155</v>
      </c>
      <c r="F3" s="19" t="n">
        <v>15884</v>
      </c>
      <c r="G3" s="20" t="n">
        <v>39206</v>
      </c>
      <c r="H3" s="17" t="s">
        <v>156</v>
      </c>
    </row>
    <row r="4" customFormat="false" ht="15" hidden="false" customHeight="true" outlineLevel="0" collapsed="false">
      <c r="A4" s="17" t="s">
        <v>157</v>
      </c>
      <c r="B4" s="8" t="s">
        <v>158</v>
      </c>
      <c r="C4" s="17" t="s">
        <v>159</v>
      </c>
      <c r="D4" s="8" t="s">
        <v>160</v>
      </c>
      <c r="E4" s="8" t="s">
        <v>161</v>
      </c>
      <c r="F4" s="19" t="n">
        <v>12675</v>
      </c>
      <c r="G4" s="20" t="n">
        <v>42829</v>
      </c>
      <c r="H4" s="17" t="s">
        <v>156</v>
      </c>
    </row>
    <row r="5" customFormat="false" ht="15" hidden="false" customHeight="true" outlineLevel="0" collapsed="false">
      <c r="A5" s="17" t="s">
        <v>162</v>
      </c>
      <c r="B5" s="8" t="s">
        <v>163</v>
      </c>
      <c r="C5" s="17" t="s">
        <v>164</v>
      </c>
      <c r="D5" s="8" t="s">
        <v>165</v>
      </c>
      <c r="E5" s="8" t="s">
        <v>161</v>
      </c>
      <c r="F5" s="19" t="n">
        <v>9090</v>
      </c>
      <c r="G5" s="20" t="n">
        <v>38701</v>
      </c>
      <c r="H5" s="17" t="s">
        <v>166</v>
      </c>
    </row>
    <row r="6" customFormat="false" ht="15" hidden="false" customHeight="true" outlineLevel="0" collapsed="false">
      <c r="A6" s="17" t="s">
        <v>167</v>
      </c>
      <c r="B6" s="8" t="s">
        <v>168</v>
      </c>
      <c r="C6" s="17" t="s">
        <v>164</v>
      </c>
      <c r="D6" s="8" t="s">
        <v>169</v>
      </c>
      <c r="E6" s="8" t="s">
        <v>170</v>
      </c>
      <c r="F6" s="19" t="n">
        <v>11685</v>
      </c>
      <c r="G6" s="20" t="n">
        <v>39600</v>
      </c>
      <c r="H6" s="17" t="s">
        <v>171</v>
      </c>
    </row>
    <row r="7" customFormat="false" ht="15" hidden="false" customHeight="true" outlineLevel="0" collapsed="false">
      <c r="A7" s="17" t="s">
        <v>172</v>
      </c>
      <c r="B7" s="8" t="s">
        <v>173</v>
      </c>
      <c r="C7" s="17" t="s">
        <v>164</v>
      </c>
      <c r="D7" s="8" t="s">
        <v>165</v>
      </c>
      <c r="E7" s="8" t="s">
        <v>155</v>
      </c>
      <c r="F7" s="19" t="n">
        <v>2150</v>
      </c>
      <c r="G7" s="20" t="n">
        <v>43046</v>
      </c>
      <c r="H7" s="17" t="s">
        <v>174</v>
      </c>
    </row>
    <row r="8" customFormat="false" ht="15" hidden="false" customHeight="true" outlineLevel="0" collapsed="false">
      <c r="A8" s="17" t="s">
        <v>175</v>
      </c>
      <c r="B8" s="8" t="s">
        <v>176</v>
      </c>
      <c r="C8" s="17" t="s">
        <v>164</v>
      </c>
      <c r="D8" s="8" t="s">
        <v>169</v>
      </c>
      <c r="E8" s="8" t="s">
        <v>177</v>
      </c>
      <c r="F8" s="19" t="n">
        <v>10644</v>
      </c>
      <c r="G8" s="20" t="n">
        <v>41137</v>
      </c>
      <c r="H8" s="17" t="s">
        <v>178</v>
      </c>
    </row>
    <row r="9" customFormat="false" ht="15" hidden="false" customHeight="true" outlineLevel="0" collapsed="false">
      <c r="A9" s="17" t="s">
        <v>179</v>
      </c>
      <c r="B9" s="8" t="s">
        <v>180</v>
      </c>
      <c r="C9" s="17" t="s">
        <v>181</v>
      </c>
      <c r="D9" s="8" t="s">
        <v>182</v>
      </c>
      <c r="E9" s="8" t="s">
        <v>183</v>
      </c>
      <c r="F9" s="19" t="n">
        <v>5782</v>
      </c>
      <c r="G9" s="20" t="n">
        <v>41131</v>
      </c>
      <c r="H9" s="17" t="s">
        <v>171</v>
      </c>
    </row>
    <row r="10" customFormat="false" ht="15" hidden="false" customHeight="true" outlineLevel="0" collapsed="false">
      <c r="A10" s="17" t="s">
        <v>184</v>
      </c>
      <c r="B10" s="8" t="s">
        <v>185</v>
      </c>
      <c r="C10" s="17" t="s">
        <v>164</v>
      </c>
      <c r="D10" s="8" t="s">
        <v>186</v>
      </c>
      <c r="E10" s="8" t="s">
        <v>155</v>
      </c>
      <c r="F10" s="19" t="n">
        <v>17109</v>
      </c>
      <c r="G10" s="20" t="n">
        <v>39528</v>
      </c>
      <c r="H10" s="17" t="s">
        <v>187</v>
      </c>
    </row>
    <row r="11" customFormat="false" ht="15" hidden="false" customHeight="true" outlineLevel="0" collapsed="false">
      <c r="A11" s="17" t="s">
        <v>188</v>
      </c>
      <c r="B11" s="8" t="s">
        <v>189</v>
      </c>
      <c r="C11" s="17" t="s">
        <v>190</v>
      </c>
      <c r="D11" s="8" t="s">
        <v>191</v>
      </c>
      <c r="E11" s="8" t="s">
        <v>177</v>
      </c>
      <c r="F11" s="19" t="n">
        <v>14175</v>
      </c>
      <c r="G11" s="20" t="n">
        <v>42361</v>
      </c>
      <c r="H11" s="17" t="s">
        <v>178</v>
      </c>
    </row>
    <row r="12" customFormat="false" ht="15" hidden="false" customHeight="true" outlineLevel="0" collapsed="false">
      <c r="A12" s="17" t="s">
        <v>192</v>
      </c>
      <c r="B12" s="8" t="s">
        <v>185</v>
      </c>
      <c r="C12" s="17" t="s">
        <v>164</v>
      </c>
      <c r="D12" s="8" t="s">
        <v>186</v>
      </c>
      <c r="E12" s="8" t="s">
        <v>155</v>
      </c>
      <c r="F12" s="19" t="n">
        <v>15599</v>
      </c>
      <c r="G12" s="20" t="n">
        <v>40673</v>
      </c>
      <c r="H12" s="17" t="s">
        <v>193</v>
      </c>
    </row>
    <row r="13" customFormat="false" ht="26.25" hidden="false" customHeight="true" outlineLevel="0" collapsed="false">
      <c r="A13" s="17" t="s">
        <v>194</v>
      </c>
      <c r="B13" s="8" t="s">
        <v>195</v>
      </c>
      <c r="C13" s="17" t="s">
        <v>159</v>
      </c>
      <c r="D13" s="8" t="s">
        <v>196</v>
      </c>
      <c r="E13" s="8" t="s">
        <v>155</v>
      </c>
      <c r="F13" s="19" t="n">
        <v>8444</v>
      </c>
      <c r="G13" s="20" t="n">
        <v>44942</v>
      </c>
      <c r="H13" s="17" t="s">
        <v>197</v>
      </c>
    </row>
    <row r="14" customFormat="false" ht="15" hidden="false" customHeight="true" outlineLevel="0" collapsed="false">
      <c r="A14" s="17" t="s">
        <v>198</v>
      </c>
      <c r="B14" s="8" t="s">
        <v>199</v>
      </c>
      <c r="C14" s="17" t="s">
        <v>164</v>
      </c>
      <c r="D14" s="8" t="s">
        <v>169</v>
      </c>
      <c r="E14" s="8" t="s">
        <v>161</v>
      </c>
      <c r="F14" s="19" t="n">
        <v>8788</v>
      </c>
      <c r="G14" s="20" t="n">
        <v>40347</v>
      </c>
      <c r="H14" s="17" t="s">
        <v>187</v>
      </c>
    </row>
    <row r="15" customFormat="false" ht="15" hidden="false" customHeight="true" outlineLevel="0" collapsed="false">
      <c r="A15" s="17" t="s">
        <v>200</v>
      </c>
      <c r="B15" s="8" t="s">
        <v>201</v>
      </c>
      <c r="C15" s="17" t="s">
        <v>153</v>
      </c>
      <c r="D15" s="8" t="s">
        <v>202</v>
      </c>
      <c r="E15" s="8" t="s">
        <v>183</v>
      </c>
      <c r="F15" s="19" t="n">
        <v>3416</v>
      </c>
      <c r="G15" s="20" t="n">
        <v>43786</v>
      </c>
      <c r="H15" s="17" t="s">
        <v>203</v>
      </c>
    </row>
    <row r="16" customFormat="false" ht="26.25" hidden="false" customHeight="true" outlineLevel="0" collapsed="false">
      <c r="A16" s="17" t="s">
        <v>204</v>
      </c>
      <c r="B16" s="8" t="s">
        <v>205</v>
      </c>
      <c r="C16" s="17" t="s">
        <v>181</v>
      </c>
      <c r="D16" s="8" t="s">
        <v>206</v>
      </c>
      <c r="E16" s="8" t="s">
        <v>155</v>
      </c>
      <c r="F16" s="19" t="n">
        <v>15761</v>
      </c>
      <c r="G16" s="20" t="n">
        <v>42902</v>
      </c>
      <c r="H16" s="17" t="s">
        <v>187</v>
      </c>
    </row>
    <row r="17" customFormat="false" ht="15" hidden="false" customHeight="true" outlineLevel="0" collapsed="false">
      <c r="A17" s="17" t="s">
        <v>207</v>
      </c>
      <c r="B17" s="8" t="s">
        <v>163</v>
      </c>
      <c r="C17" s="17" t="s">
        <v>164</v>
      </c>
      <c r="D17" s="8" t="s">
        <v>165</v>
      </c>
      <c r="E17" s="8" t="s">
        <v>161</v>
      </c>
      <c r="F17" s="19" t="n">
        <v>2712</v>
      </c>
      <c r="G17" s="20" t="n">
        <v>42001</v>
      </c>
      <c r="H17" s="17" t="s">
        <v>193</v>
      </c>
    </row>
    <row r="18" customFormat="false" ht="15" hidden="false" customHeight="true" outlineLevel="0" collapsed="false">
      <c r="A18" s="17" t="s">
        <v>208</v>
      </c>
      <c r="B18" s="8" t="s">
        <v>209</v>
      </c>
      <c r="C18" s="17" t="s">
        <v>181</v>
      </c>
      <c r="D18" s="8" t="s">
        <v>210</v>
      </c>
      <c r="E18" s="8" t="s">
        <v>155</v>
      </c>
      <c r="F18" s="19" t="n">
        <v>8448</v>
      </c>
      <c r="G18" s="20" t="n">
        <v>40254</v>
      </c>
      <c r="H18" s="17" t="s">
        <v>197</v>
      </c>
    </row>
    <row r="19" customFormat="false" ht="15" hidden="false" customHeight="true" outlineLevel="0" collapsed="false">
      <c r="A19" s="17" t="s">
        <v>211</v>
      </c>
      <c r="B19" s="8" t="s">
        <v>212</v>
      </c>
      <c r="C19" s="17" t="s">
        <v>164</v>
      </c>
      <c r="D19" s="8" t="s">
        <v>165</v>
      </c>
      <c r="E19" s="8" t="s">
        <v>170</v>
      </c>
      <c r="F19" s="19" t="n">
        <v>10841</v>
      </c>
      <c r="G19" s="20" t="n">
        <v>44664</v>
      </c>
      <c r="H19" s="17" t="s">
        <v>178</v>
      </c>
    </row>
    <row r="20" customFormat="false" ht="26.25" hidden="false" customHeight="true" outlineLevel="0" collapsed="false">
      <c r="A20" s="17" t="s">
        <v>213</v>
      </c>
      <c r="B20" s="8" t="s">
        <v>214</v>
      </c>
      <c r="C20" s="17" t="s">
        <v>181</v>
      </c>
      <c r="D20" s="8" t="s">
        <v>215</v>
      </c>
      <c r="E20" s="8" t="s">
        <v>155</v>
      </c>
      <c r="F20" s="19" t="n">
        <v>7788</v>
      </c>
      <c r="G20" s="20" t="n">
        <v>43607</v>
      </c>
      <c r="H20" s="17" t="s">
        <v>178</v>
      </c>
    </row>
    <row r="21" customFormat="false" ht="15" hidden="false" customHeight="true" outlineLevel="0" collapsed="false">
      <c r="A21" s="17" t="s">
        <v>216</v>
      </c>
      <c r="B21" s="8" t="s">
        <v>217</v>
      </c>
      <c r="C21" s="17" t="s">
        <v>190</v>
      </c>
      <c r="D21" s="8" t="s">
        <v>218</v>
      </c>
      <c r="E21" s="8" t="s">
        <v>177</v>
      </c>
      <c r="F21" s="19" t="n">
        <v>8286</v>
      </c>
      <c r="G21" s="20" t="n">
        <v>44272</v>
      </c>
      <c r="H21" s="17" t="s">
        <v>178</v>
      </c>
    </row>
    <row r="22" customFormat="false" ht="15" hidden="false" customHeight="true" outlineLevel="0" collapsed="false">
      <c r="A22" s="17" t="s">
        <v>219</v>
      </c>
      <c r="B22" s="8" t="s">
        <v>220</v>
      </c>
      <c r="C22" s="17" t="s">
        <v>190</v>
      </c>
      <c r="D22" s="8" t="s">
        <v>221</v>
      </c>
      <c r="E22" s="8" t="s">
        <v>161</v>
      </c>
      <c r="F22" s="19" t="n">
        <v>17560</v>
      </c>
      <c r="G22" s="20" t="n">
        <v>38957</v>
      </c>
      <c r="H22" s="17" t="s">
        <v>222</v>
      </c>
    </row>
    <row r="23" customFormat="false" ht="15" hidden="false" customHeight="true" outlineLevel="0" collapsed="false">
      <c r="A23" s="17" t="s">
        <v>223</v>
      </c>
      <c r="B23" s="8" t="s">
        <v>209</v>
      </c>
      <c r="C23" s="17" t="s">
        <v>181</v>
      </c>
      <c r="D23" s="8" t="s">
        <v>210</v>
      </c>
      <c r="E23" s="8" t="s">
        <v>155</v>
      </c>
      <c r="F23" s="19" t="n">
        <v>5274</v>
      </c>
      <c r="G23" s="20" t="n">
        <v>44393</v>
      </c>
      <c r="H23" s="17" t="s">
        <v>222</v>
      </c>
    </row>
    <row r="24" customFormat="false" ht="15" hidden="false" customHeight="true" outlineLevel="0" collapsed="false">
      <c r="A24" s="17" t="s">
        <v>224</v>
      </c>
      <c r="B24" s="8" t="s">
        <v>225</v>
      </c>
      <c r="C24" s="17" t="s">
        <v>164</v>
      </c>
      <c r="D24" s="8" t="s">
        <v>186</v>
      </c>
      <c r="E24" s="8" t="s">
        <v>183</v>
      </c>
      <c r="F24" s="19" t="n">
        <v>2025</v>
      </c>
      <c r="G24" s="20" t="n">
        <v>44824</v>
      </c>
      <c r="H24" s="17" t="s">
        <v>193</v>
      </c>
    </row>
    <row r="25" customFormat="false" ht="15" hidden="false" customHeight="true" outlineLevel="0" collapsed="false">
      <c r="A25" s="17" t="s">
        <v>226</v>
      </c>
      <c r="B25" s="8" t="s">
        <v>227</v>
      </c>
      <c r="C25" s="17" t="s">
        <v>228</v>
      </c>
      <c r="D25" s="8" t="s">
        <v>229</v>
      </c>
      <c r="E25" s="8" t="s">
        <v>161</v>
      </c>
      <c r="F25" s="19" t="n">
        <v>11828</v>
      </c>
      <c r="G25" s="20" t="n">
        <v>38463</v>
      </c>
      <c r="H25" s="17" t="s">
        <v>230</v>
      </c>
    </row>
    <row r="26" customFormat="false" ht="26.25" hidden="false" customHeight="true" outlineLevel="0" collapsed="false">
      <c r="A26" s="17" t="s">
        <v>231</v>
      </c>
      <c r="B26" s="8" t="s">
        <v>232</v>
      </c>
      <c r="C26" s="17" t="s">
        <v>228</v>
      </c>
      <c r="D26" s="8" t="s">
        <v>233</v>
      </c>
      <c r="E26" s="8" t="s">
        <v>155</v>
      </c>
      <c r="F26" s="19" t="n">
        <v>4961</v>
      </c>
      <c r="G26" s="20" t="n">
        <v>39351</v>
      </c>
      <c r="H26" s="17" t="s">
        <v>166</v>
      </c>
    </row>
    <row r="27" customFormat="false" ht="15" hidden="false" customHeight="true" outlineLevel="0" collapsed="false">
      <c r="A27" s="17" t="s">
        <v>234</v>
      </c>
      <c r="B27" s="8" t="s">
        <v>235</v>
      </c>
      <c r="C27" s="17" t="s">
        <v>181</v>
      </c>
      <c r="D27" s="8" t="s">
        <v>236</v>
      </c>
      <c r="E27" s="8" t="s">
        <v>177</v>
      </c>
      <c r="F27" s="19" t="n">
        <v>3363</v>
      </c>
      <c r="G27" s="20" t="n">
        <v>38565</v>
      </c>
      <c r="H27" s="17" t="s">
        <v>166</v>
      </c>
    </row>
    <row r="28" customFormat="false" ht="15" hidden="false" customHeight="true" outlineLevel="0" collapsed="false">
      <c r="A28" s="17" t="s">
        <v>237</v>
      </c>
      <c r="B28" s="8" t="s">
        <v>180</v>
      </c>
      <c r="C28" s="17" t="s">
        <v>181</v>
      </c>
      <c r="D28" s="8" t="s">
        <v>182</v>
      </c>
      <c r="E28" s="8" t="s">
        <v>183</v>
      </c>
      <c r="F28" s="19" t="n">
        <v>3793</v>
      </c>
      <c r="G28" s="20" t="n">
        <v>40339</v>
      </c>
      <c r="H28" s="17" t="s">
        <v>203</v>
      </c>
    </row>
    <row r="29" customFormat="false" ht="15" hidden="false" customHeight="true" outlineLevel="0" collapsed="false">
      <c r="A29" s="17" t="s">
        <v>238</v>
      </c>
      <c r="B29" s="8" t="s">
        <v>239</v>
      </c>
      <c r="C29" s="17" t="s">
        <v>181</v>
      </c>
      <c r="D29" s="8" t="s">
        <v>206</v>
      </c>
      <c r="E29" s="8" t="s">
        <v>170</v>
      </c>
      <c r="F29" s="19" t="n">
        <v>6181</v>
      </c>
      <c r="G29" s="20" t="n">
        <v>44277</v>
      </c>
      <c r="H29" s="17" t="s">
        <v>166</v>
      </c>
    </row>
    <row r="30" customFormat="false" ht="15" hidden="false" customHeight="true" outlineLevel="0" collapsed="false">
      <c r="A30" s="17" t="s">
        <v>240</v>
      </c>
      <c r="B30" s="8" t="s">
        <v>241</v>
      </c>
      <c r="C30" s="17" t="s">
        <v>228</v>
      </c>
      <c r="D30" s="8" t="s">
        <v>242</v>
      </c>
      <c r="E30" s="8" t="s">
        <v>183</v>
      </c>
      <c r="F30" s="19" t="n">
        <v>9449</v>
      </c>
      <c r="G30" s="20" t="n">
        <v>42232</v>
      </c>
      <c r="H30" s="17" t="s">
        <v>203</v>
      </c>
    </row>
    <row r="31" customFormat="false" ht="15" hidden="false" customHeight="true" outlineLevel="0" collapsed="false">
      <c r="A31" s="17" t="s">
        <v>243</v>
      </c>
      <c r="B31" s="8" t="s">
        <v>244</v>
      </c>
      <c r="C31" s="17" t="s">
        <v>164</v>
      </c>
      <c r="D31" s="8" t="s">
        <v>165</v>
      </c>
      <c r="E31" s="8" t="s">
        <v>183</v>
      </c>
      <c r="F31" s="19" t="n">
        <v>8333</v>
      </c>
      <c r="G31" s="20" t="n">
        <v>42211</v>
      </c>
      <c r="H31" s="17" t="s">
        <v>197</v>
      </c>
    </row>
    <row r="32" customFormat="false" ht="15" hidden="false" customHeight="true" outlineLevel="0" collapsed="false">
      <c r="A32" s="17" t="s">
        <v>245</v>
      </c>
      <c r="B32" s="8" t="s">
        <v>246</v>
      </c>
      <c r="C32" s="17" t="s">
        <v>153</v>
      </c>
      <c r="D32" s="8" t="s">
        <v>247</v>
      </c>
      <c r="E32" s="8" t="s">
        <v>177</v>
      </c>
      <c r="F32" s="19" t="n">
        <v>6152</v>
      </c>
      <c r="G32" s="20" t="n">
        <v>44306</v>
      </c>
      <c r="H32" s="17" t="s">
        <v>174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8" min="7" style="1" width="16"/>
  </cols>
  <sheetData>
    <row r="1" customFormat="false" ht="31.5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18" t="s">
        <v>249</v>
      </c>
      <c r="B2" s="18" t="s">
        <v>143</v>
      </c>
      <c r="C2" s="18" t="s">
        <v>250</v>
      </c>
      <c r="D2" s="18" t="s">
        <v>251</v>
      </c>
      <c r="E2" s="18" t="s">
        <v>252</v>
      </c>
      <c r="F2" s="18" t="s">
        <v>253</v>
      </c>
      <c r="G2" s="18" t="s">
        <v>102</v>
      </c>
      <c r="H2" s="18" t="s">
        <v>254</v>
      </c>
    </row>
    <row r="3" customFormat="false" ht="15" hidden="false" customHeight="true" outlineLevel="0" collapsed="false">
      <c r="A3" s="17" t="s">
        <v>255</v>
      </c>
      <c r="B3" s="17" t="s">
        <v>151</v>
      </c>
      <c r="C3" s="8" t="s">
        <v>256</v>
      </c>
      <c r="D3" s="8" t="s">
        <v>257</v>
      </c>
      <c r="E3" s="20" t="n">
        <v>45123</v>
      </c>
      <c r="F3" s="20" t="n">
        <v>45854</v>
      </c>
      <c r="G3" s="17" t="s">
        <v>258</v>
      </c>
      <c r="H3" s="21" t="n">
        <v>320</v>
      </c>
    </row>
    <row r="4" customFormat="false" ht="15" hidden="false" customHeight="true" outlineLevel="0" collapsed="false">
      <c r="A4" s="17" t="s">
        <v>259</v>
      </c>
      <c r="B4" s="17" t="s">
        <v>151</v>
      </c>
      <c r="C4" s="8" t="s">
        <v>260</v>
      </c>
      <c r="D4" s="8" t="s">
        <v>261</v>
      </c>
      <c r="E4" s="20" t="n">
        <v>43838</v>
      </c>
      <c r="F4" s="20" t="n">
        <v>45665</v>
      </c>
      <c r="G4" s="17" t="s">
        <v>258</v>
      </c>
      <c r="H4" s="21" t="n">
        <v>1800</v>
      </c>
    </row>
    <row r="5" customFormat="false" ht="15" hidden="false" customHeight="true" outlineLevel="0" collapsed="false">
      <c r="A5" s="17" t="s">
        <v>262</v>
      </c>
      <c r="B5" s="17" t="s">
        <v>151</v>
      </c>
      <c r="C5" s="8" t="s">
        <v>263</v>
      </c>
      <c r="D5" s="8" t="s">
        <v>264</v>
      </c>
      <c r="E5" s="20" t="n">
        <v>43922</v>
      </c>
      <c r="F5" s="20" t="n">
        <v>45748</v>
      </c>
      <c r="G5" s="17" t="s">
        <v>258</v>
      </c>
      <c r="H5" s="21" t="n">
        <v>1800</v>
      </c>
    </row>
    <row r="6" customFormat="false" ht="26.25" hidden="false" customHeight="true" outlineLevel="0" collapsed="false">
      <c r="A6" s="17" t="s">
        <v>265</v>
      </c>
      <c r="B6" s="17" t="s">
        <v>151</v>
      </c>
      <c r="C6" s="8" t="s">
        <v>266</v>
      </c>
      <c r="D6" s="8" t="s">
        <v>267</v>
      </c>
      <c r="E6" s="20" t="n">
        <v>43972</v>
      </c>
      <c r="F6" s="20" t="n">
        <v>45798</v>
      </c>
      <c r="G6" s="17" t="s">
        <v>268</v>
      </c>
      <c r="H6" s="21" t="n">
        <v>2500</v>
      </c>
    </row>
    <row r="7" customFormat="false" ht="15" hidden="false" customHeight="true" outlineLevel="0" collapsed="false">
      <c r="A7" s="17" t="s">
        <v>269</v>
      </c>
      <c r="B7" s="17" t="s">
        <v>151</v>
      </c>
      <c r="C7" s="8" t="s">
        <v>270</v>
      </c>
      <c r="D7" s="8" t="s">
        <v>271</v>
      </c>
      <c r="E7" s="20" t="n">
        <v>44148</v>
      </c>
      <c r="F7" s="20" t="n">
        <v>45974</v>
      </c>
      <c r="G7" s="17" t="s">
        <v>258</v>
      </c>
      <c r="H7" s="21" t="n">
        <v>1200</v>
      </c>
    </row>
    <row r="8" customFormat="false" ht="15" hidden="false" customHeight="true" outlineLevel="0" collapsed="false">
      <c r="A8" s="17" t="s">
        <v>272</v>
      </c>
      <c r="B8" s="17" t="s">
        <v>157</v>
      </c>
      <c r="C8" s="8" t="s">
        <v>256</v>
      </c>
      <c r="D8" s="8" t="s">
        <v>257</v>
      </c>
      <c r="E8" s="20" t="n">
        <v>45562</v>
      </c>
      <c r="F8" s="20" t="n">
        <v>46657</v>
      </c>
      <c r="G8" s="17" t="s">
        <v>258</v>
      </c>
      <c r="H8" s="21" t="n">
        <v>1800</v>
      </c>
    </row>
    <row r="9" customFormat="false" ht="15" hidden="false" customHeight="true" outlineLevel="0" collapsed="false">
      <c r="A9" s="17" t="s">
        <v>273</v>
      </c>
      <c r="B9" s="17" t="s">
        <v>157</v>
      </c>
      <c r="C9" s="8" t="s">
        <v>256</v>
      </c>
      <c r="D9" s="8" t="s">
        <v>274</v>
      </c>
      <c r="E9" s="20" t="n">
        <v>43660</v>
      </c>
      <c r="F9" s="20" t="n">
        <v>45487</v>
      </c>
      <c r="G9" s="17" t="s">
        <v>258</v>
      </c>
      <c r="H9" s="21" t="n">
        <v>5200</v>
      </c>
    </row>
    <row r="10" customFormat="false" ht="15" hidden="false" customHeight="true" outlineLevel="0" collapsed="false">
      <c r="A10" s="17" t="s">
        <v>275</v>
      </c>
      <c r="B10" s="17" t="s">
        <v>157</v>
      </c>
      <c r="C10" s="8" t="s">
        <v>263</v>
      </c>
      <c r="D10" s="8" t="s">
        <v>264</v>
      </c>
      <c r="E10" s="20" t="n">
        <v>43978</v>
      </c>
      <c r="F10" s="20" t="n">
        <v>44708</v>
      </c>
      <c r="G10" s="17" t="s">
        <v>258</v>
      </c>
      <c r="H10" s="21" t="n">
        <v>5200</v>
      </c>
    </row>
    <row r="11" customFormat="false" ht="15" hidden="false" customHeight="true" outlineLevel="0" collapsed="false">
      <c r="A11" s="17" t="s">
        <v>276</v>
      </c>
      <c r="B11" s="17" t="s">
        <v>157</v>
      </c>
      <c r="C11" s="8" t="s">
        <v>256</v>
      </c>
      <c r="D11" s="8" t="s">
        <v>274</v>
      </c>
      <c r="E11" s="20" t="n">
        <v>44881</v>
      </c>
      <c r="F11" s="20" t="n">
        <v>46707</v>
      </c>
      <c r="G11" s="17" t="s">
        <v>258</v>
      </c>
      <c r="H11" s="21" t="n">
        <v>1200</v>
      </c>
    </row>
    <row r="12" customFormat="false" ht="15" hidden="false" customHeight="true" outlineLevel="0" collapsed="false">
      <c r="A12" s="17" t="s">
        <v>277</v>
      </c>
      <c r="B12" s="17" t="s">
        <v>157</v>
      </c>
      <c r="C12" s="8" t="s">
        <v>270</v>
      </c>
      <c r="D12" s="8" t="s">
        <v>278</v>
      </c>
      <c r="E12" s="20" t="n">
        <v>43790</v>
      </c>
      <c r="F12" s="20" t="n">
        <v>44886</v>
      </c>
      <c r="G12" s="17" t="s">
        <v>258</v>
      </c>
      <c r="H12" s="21" t="n">
        <v>2500</v>
      </c>
    </row>
    <row r="13" customFormat="false" ht="15" hidden="false" customHeight="true" outlineLevel="0" collapsed="false">
      <c r="A13" s="17" t="s">
        <v>279</v>
      </c>
      <c r="B13" s="17" t="s">
        <v>157</v>
      </c>
      <c r="C13" s="8" t="s">
        <v>260</v>
      </c>
      <c r="D13" s="8" t="s">
        <v>261</v>
      </c>
      <c r="E13" s="20" t="n">
        <v>44733</v>
      </c>
      <c r="F13" s="20" t="n">
        <v>46559</v>
      </c>
      <c r="G13" s="17" t="s">
        <v>258</v>
      </c>
      <c r="H13" s="21" t="n">
        <v>2500</v>
      </c>
    </row>
    <row r="14" customFormat="false" ht="15" hidden="false" customHeight="true" outlineLevel="0" collapsed="false">
      <c r="A14" s="17" t="s">
        <v>280</v>
      </c>
      <c r="B14" s="17" t="s">
        <v>157</v>
      </c>
      <c r="C14" s="8" t="s">
        <v>270</v>
      </c>
      <c r="D14" s="8" t="s">
        <v>281</v>
      </c>
      <c r="E14" s="20" t="n">
        <v>45025</v>
      </c>
      <c r="F14" s="20" t="n">
        <v>46852</v>
      </c>
      <c r="G14" s="17" t="s">
        <v>258</v>
      </c>
      <c r="H14" s="21" t="n">
        <v>1200</v>
      </c>
    </row>
    <row r="15" customFormat="false" ht="15" hidden="false" customHeight="true" outlineLevel="0" collapsed="false">
      <c r="A15" s="17" t="s">
        <v>282</v>
      </c>
      <c r="B15" s="17" t="s">
        <v>162</v>
      </c>
      <c r="C15" s="8" t="s">
        <v>283</v>
      </c>
      <c r="D15" s="8" t="s">
        <v>284</v>
      </c>
      <c r="E15" s="20" t="n">
        <v>44044</v>
      </c>
      <c r="F15" s="20" t="n">
        <v>44774</v>
      </c>
      <c r="G15" s="17" t="s">
        <v>258</v>
      </c>
      <c r="H15" s="21" t="n">
        <v>480</v>
      </c>
    </row>
    <row r="16" customFormat="false" ht="15" hidden="false" customHeight="true" outlineLevel="0" collapsed="false">
      <c r="A16" s="17" t="s">
        <v>285</v>
      </c>
      <c r="B16" s="17" t="s">
        <v>162</v>
      </c>
      <c r="C16" s="8" t="s">
        <v>256</v>
      </c>
      <c r="D16" s="8" t="s">
        <v>274</v>
      </c>
      <c r="E16" s="20" t="n">
        <v>45078</v>
      </c>
      <c r="F16" s="20" t="n">
        <v>46174</v>
      </c>
      <c r="G16" s="17" t="s">
        <v>258</v>
      </c>
      <c r="H16" s="21" t="n">
        <v>750</v>
      </c>
    </row>
    <row r="17" customFormat="false" ht="15" hidden="false" customHeight="true" outlineLevel="0" collapsed="false">
      <c r="A17" s="17" t="s">
        <v>286</v>
      </c>
      <c r="B17" s="17" t="s">
        <v>162</v>
      </c>
      <c r="C17" s="8" t="s">
        <v>260</v>
      </c>
      <c r="D17" s="8" t="s">
        <v>261</v>
      </c>
      <c r="E17" s="20" t="n">
        <v>44967</v>
      </c>
      <c r="F17" s="20" t="n">
        <v>46793</v>
      </c>
      <c r="G17" s="17" t="s">
        <v>258</v>
      </c>
      <c r="H17" s="21" t="n">
        <v>5200</v>
      </c>
    </row>
    <row r="18" customFormat="false" ht="15" hidden="false" customHeight="true" outlineLevel="0" collapsed="false">
      <c r="A18" s="17" t="s">
        <v>287</v>
      </c>
      <c r="B18" s="17" t="s">
        <v>162</v>
      </c>
      <c r="C18" s="8" t="s">
        <v>256</v>
      </c>
      <c r="D18" s="8" t="s">
        <v>257</v>
      </c>
      <c r="E18" s="20" t="n">
        <v>44032</v>
      </c>
      <c r="F18" s="20" t="n">
        <v>44762</v>
      </c>
      <c r="G18" s="17" t="s">
        <v>258</v>
      </c>
      <c r="H18" s="21" t="n">
        <v>320</v>
      </c>
    </row>
    <row r="19" customFormat="false" ht="26.25" hidden="false" customHeight="true" outlineLevel="0" collapsed="false">
      <c r="A19" s="17" t="s">
        <v>288</v>
      </c>
      <c r="B19" s="17" t="s">
        <v>167</v>
      </c>
      <c r="C19" s="8" t="s">
        <v>289</v>
      </c>
      <c r="D19" s="8" t="s">
        <v>290</v>
      </c>
      <c r="E19" s="20" t="n">
        <v>43642</v>
      </c>
      <c r="F19" s="20" t="n">
        <v>44738</v>
      </c>
      <c r="G19" s="17" t="s">
        <v>268</v>
      </c>
      <c r="H19" s="21" t="n">
        <v>12000</v>
      </c>
    </row>
    <row r="20" customFormat="false" ht="15" hidden="false" customHeight="true" outlineLevel="0" collapsed="false">
      <c r="A20" s="17" t="s">
        <v>291</v>
      </c>
      <c r="B20" s="17" t="s">
        <v>167</v>
      </c>
      <c r="C20" s="8" t="s">
        <v>270</v>
      </c>
      <c r="D20" s="8" t="s">
        <v>278</v>
      </c>
      <c r="E20" s="20" t="n">
        <v>43653</v>
      </c>
      <c r="F20" s="20" t="n">
        <v>44384</v>
      </c>
      <c r="G20" s="17" t="s">
        <v>258</v>
      </c>
      <c r="H20" s="21" t="n">
        <v>320</v>
      </c>
    </row>
    <row r="21" customFormat="false" ht="15" hidden="false" customHeight="true" outlineLevel="0" collapsed="false">
      <c r="A21" s="17" t="s">
        <v>292</v>
      </c>
      <c r="B21" s="17" t="s">
        <v>167</v>
      </c>
      <c r="C21" s="8" t="s">
        <v>263</v>
      </c>
      <c r="D21" s="8" t="s">
        <v>293</v>
      </c>
      <c r="E21" s="20" t="n">
        <v>45005</v>
      </c>
      <c r="F21" s="20" t="n">
        <v>45736</v>
      </c>
      <c r="G21" s="17" t="s">
        <v>258</v>
      </c>
      <c r="H21" s="21" t="n">
        <v>12000</v>
      </c>
    </row>
    <row r="22" customFormat="false" ht="15" hidden="false" customHeight="true" outlineLevel="0" collapsed="false">
      <c r="A22" s="17" t="s">
        <v>294</v>
      </c>
      <c r="B22" s="17" t="s">
        <v>167</v>
      </c>
      <c r="C22" s="8" t="s">
        <v>266</v>
      </c>
      <c r="D22" s="8" t="s">
        <v>295</v>
      </c>
      <c r="E22" s="20" t="n">
        <v>43158</v>
      </c>
      <c r="F22" s="20" t="n">
        <v>44984</v>
      </c>
      <c r="G22" s="17" t="s">
        <v>258</v>
      </c>
      <c r="H22" s="21" t="n">
        <v>3500</v>
      </c>
    </row>
    <row r="23" customFormat="false" ht="15" hidden="false" customHeight="true" outlineLevel="0" collapsed="false">
      <c r="A23" s="17" t="s">
        <v>296</v>
      </c>
      <c r="B23" s="17" t="s">
        <v>167</v>
      </c>
      <c r="C23" s="8" t="s">
        <v>266</v>
      </c>
      <c r="D23" s="8" t="s">
        <v>295</v>
      </c>
      <c r="E23" s="20" t="n">
        <v>43570</v>
      </c>
      <c r="F23" s="20" t="n">
        <v>44666</v>
      </c>
      <c r="G23" s="17" t="s">
        <v>258</v>
      </c>
      <c r="H23" s="21" t="n">
        <v>1200</v>
      </c>
    </row>
    <row r="24" customFormat="false" ht="15" hidden="false" customHeight="true" outlineLevel="0" collapsed="false">
      <c r="A24" s="17" t="s">
        <v>297</v>
      </c>
      <c r="B24" s="17" t="s">
        <v>167</v>
      </c>
      <c r="C24" s="8" t="s">
        <v>260</v>
      </c>
      <c r="D24" s="8" t="s">
        <v>298</v>
      </c>
      <c r="E24" s="20" t="n">
        <v>43783</v>
      </c>
      <c r="F24" s="20" t="n">
        <v>44514</v>
      </c>
      <c r="G24" s="17" t="s">
        <v>258</v>
      </c>
      <c r="H24" s="21" t="n">
        <v>320</v>
      </c>
    </row>
    <row r="25" customFormat="false" ht="15" hidden="false" customHeight="true" outlineLevel="0" collapsed="false">
      <c r="A25" s="17" t="s">
        <v>299</v>
      </c>
      <c r="B25" s="17" t="s">
        <v>172</v>
      </c>
      <c r="C25" s="8" t="s">
        <v>256</v>
      </c>
      <c r="D25" s="8" t="s">
        <v>300</v>
      </c>
      <c r="E25" s="20" t="n">
        <v>43715</v>
      </c>
      <c r="F25" s="20" t="n">
        <v>44446</v>
      </c>
      <c r="G25" s="17" t="s">
        <v>258</v>
      </c>
      <c r="H25" s="21" t="n">
        <v>1800</v>
      </c>
    </row>
    <row r="26" customFormat="false" ht="26.25" hidden="false" customHeight="true" outlineLevel="0" collapsed="false">
      <c r="A26" s="17" t="s">
        <v>301</v>
      </c>
      <c r="B26" s="17" t="s">
        <v>172</v>
      </c>
      <c r="C26" s="8" t="s">
        <v>263</v>
      </c>
      <c r="D26" s="8" t="s">
        <v>302</v>
      </c>
      <c r="E26" s="20" t="n">
        <v>43270</v>
      </c>
      <c r="F26" s="20" t="n">
        <v>44001</v>
      </c>
      <c r="G26" s="17" t="s">
        <v>268</v>
      </c>
      <c r="H26" s="21" t="n">
        <v>3500</v>
      </c>
    </row>
    <row r="27" customFormat="false" ht="15" hidden="false" customHeight="true" outlineLevel="0" collapsed="false">
      <c r="A27" s="17" t="s">
        <v>303</v>
      </c>
      <c r="B27" s="17" t="s">
        <v>172</v>
      </c>
      <c r="C27" s="8" t="s">
        <v>289</v>
      </c>
      <c r="D27" s="8" t="s">
        <v>290</v>
      </c>
      <c r="E27" s="20" t="n">
        <v>44241</v>
      </c>
      <c r="F27" s="20" t="n">
        <v>44971</v>
      </c>
      <c r="G27" s="17" t="s">
        <v>304</v>
      </c>
      <c r="H27" s="21" t="n">
        <v>12000</v>
      </c>
    </row>
    <row r="28" customFormat="false" ht="15" hidden="false" customHeight="true" outlineLevel="0" collapsed="false">
      <c r="A28" s="17" t="s">
        <v>305</v>
      </c>
      <c r="B28" s="17" t="s">
        <v>172</v>
      </c>
      <c r="C28" s="8" t="s">
        <v>263</v>
      </c>
      <c r="D28" s="8" t="s">
        <v>302</v>
      </c>
      <c r="E28" s="20" t="n">
        <v>44151</v>
      </c>
      <c r="F28" s="20" t="n">
        <v>45977</v>
      </c>
      <c r="G28" s="17" t="s">
        <v>258</v>
      </c>
      <c r="H28" s="21" t="n">
        <v>3500</v>
      </c>
    </row>
    <row r="29" customFormat="false" ht="15" hidden="false" customHeight="true" outlineLevel="0" collapsed="false">
      <c r="A29" s="17" t="s">
        <v>306</v>
      </c>
      <c r="B29" s="17" t="s">
        <v>175</v>
      </c>
      <c r="C29" s="8" t="s">
        <v>266</v>
      </c>
      <c r="D29" s="8" t="s">
        <v>307</v>
      </c>
      <c r="E29" s="20" t="n">
        <v>45622</v>
      </c>
      <c r="F29" s="20" t="n">
        <v>46717</v>
      </c>
      <c r="G29" s="17" t="s">
        <v>258</v>
      </c>
      <c r="H29" s="21" t="n">
        <v>3500</v>
      </c>
    </row>
    <row r="30" customFormat="false" ht="15" hidden="false" customHeight="true" outlineLevel="0" collapsed="false">
      <c r="A30" s="17" t="s">
        <v>308</v>
      </c>
      <c r="B30" s="17" t="s">
        <v>175</v>
      </c>
      <c r="C30" s="8" t="s">
        <v>309</v>
      </c>
      <c r="D30" s="8" t="s">
        <v>310</v>
      </c>
      <c r="E30" s="20" t="n">
        <v>45433</v>
      </c>
      <c r="F30" s="20" t="n">
        <v>47259</v>
      </c>
      <c r="G30" s="17" t="s">
        <v>258</v>
      </c>
      <c r="H30" s="21" t="n">
        <v>3500</v>
      </c>
    </row>
    <row r="31" customFormat="false" ht="15" hidden="false" customHeight="true" outlineLevel="0" collapsed="false">
      <c r="A31" s="17" t="s">
        <v>311</v>
      </c>
      <c r="B31" s="17" t="s">
        <v>175</v>
      </c>
      <c r="C31" s="8" t="s">
        <v>263</v>
      </c>
      <c r="D31" s="8" t="s">
        <v>302</v>
      </c>
      <c r="E31" s="20" t="n">
        <v>44954</v>
      </c>
      <c r="F31" s="20" t="n">
        <v>45685</v>
      </c>
      <c r="G31" s="17" t="s">
        <v>258</v>
      </c>
      <c r="H31" s="21" t="n">
        <v>5200</v>
      </c>
    </row>
    <row r="32" customFormat="false" ht="15" hidden="false" customHeight="true" outlineLevel="0" collapsed="false">
      <c r="A32" s="17" t="s">
        <v>312</v>
      </c>
      <c r="B32" s="17" t="s">
        <v>175</v>
      </c>
      <c r="C32" s="8" t="s">
        <v>309</v>
      </c>
      <c r="D32" s="8" t="s">
        <v>313</v>
      </c>
      <c r="E32" s="20" t="n">
        <v>44384</v>
      </c>
      <c r="F32" s="20" t="n">
        <v>45114</v>
      </c>
      <c r="G32" s="17" t="s">
        <v>258</v>
      </c>
      <c r="H32" s="21" t="n">
        <v>750</v>
      </c>
    </row>
    <row r="33" customFormat="false" ht="15" hidden="false" customHeight="true" outlineLevel="0" collapsed="false">
      <c r="A33" s="17" t="s">
        <v>314</v>
      </c>
      <c r="B33" s="17" t="s">
        <v>175</v>
      </c>
      <c r="C33" s="8" t="s">
        <v>289</v>
      </c>
      <c r="D33" s="8" t="s">
        <v>315</v>
      </c>
      <c r="E33" s="20" t="n">
        <v>43307</v>
      </c>
      <c r="F33" s="20" t="n">
        <v>44403</v>
      </c>
      <c r="G33" s="17" t="s">
        <v>304</v>
      </c>
      <c r="H33" s="21" t="n">
        <v>7800</v>
      </c>
    </row>
    <row r="34" customFormat="false" ht="15" hidden="false" customHeight="true" outlineLevel="0" collapsed="false">
      <c r="A34" s="17" t="s">
        <v>316</v>
      </c>
      <c r="B34" s="17" t="s">
        <v>175</v>
      </c>
      <c r="C34" s="8" t="s">
        <v>289</v>
      </c>
      <c r="D34" s="8" t="s">
        <v>317</v>
      </c>
      <c r="E34" s="20" t="n">
        <v>43789</v>
      </c>
      <c r="F34" s="20" t="n">
        <v>44885</v>
      </c>
      <c r="G34" s="17" t="s">
        <v>258</v>
      </c>
      <c r="H34" s="21" t="n">
        <v>7800</v>
      </c>
    </row>
    <row r="35" customFormat="false" ht="15" hidden="false" customHeight="true" outlineLevel="0" collapsed="false">
      <c r="A35" s="17" t="s">
        <v>318</v>
      </c>
      <c r="B35" s="17" t="s">
        <v>175</v>
      </c>
      <c r="C35" s="8" t="s">
        <v>309</v>
      </c>
      <c r="D35" s="8" t="s">
        <v>313</v>
      </c>
      <c r="E35" s="20" t="n">
        <v>44199</v>
      </c>
      <c r="F35" s="20" t="n">
        <v>44929</v>
      </c>
      <c r="G35" s="17" t="s">
        <v>258</v>
      </c>
      <c r="H35" s="21" t="n">
        <v>480</v>
      </c>
    </row>
    <row r="36" customFormat="false" ht="15" hidden="false" customHeight="true" outlineLevel="0" collapsed="false">
      <c r="A36" s="17" t="s">
        <v>319</v>
      </c>
      <c r="B36" s="17" t="s">
        <v>175</v>
      </c>
      <c r="C36" s="8" t="s">
        <v>309</v>
      </c>
      <c r="D36" s="8" t="s">
        <v>313</v>
      </c>
      <c r="E36" s="20" t="n">
        <v>45432</v>
      </c>
      <c r="F36" s="20" t="n">
        <v>46162</v>
      </c>
      <c r="G36" s="17" t="s">
        <v>258</v>
      </c>
      <c r="H36" s="21" t="n">
        <v>480</v>
      </c>
    </row>
    <row r="37" customFormat="false" ht="15" hidden="false" customHeight="true" outlineLevel="0" collapsed="false">
      <c r="A37" s="17" t="s">
        <v>320</v>
      </c>
      <c r="B37" s="17" t="s">
        <v>179</v>
      </c>
      <c r="C37" s="8" t="s">
        <v>289</v>
      </c>
      <c r="D37" s="8" t="s">
        <v>315</v>
      </c>
      <c r="E37" s="20" t="n">
        <v>45470</v>
      </c>
      <c r="F37" s="20" t="n">
        <v>46200</v>
      </c>
      <c r="G37" s="17" t="s">
        <v>258</v>
      </c>
      <c r="H37" s="21" t="n">
        <v>7800</v>
      </c>
    </row>
    <row r="38" customFormat="false" ht="15" hidden="false" customHeight="true" outlineLevel="0" collapsed="false">
      <c r="A38" s="17" t="s">
        <v>321</v>
      </c>
      <c r="B38" s="17" t="s">
        <v>179</v>
      </c>
      <c r="C38" s="8" t="s">
        <v>309</v>
      </c>
      <c r="D38" s="8" t="s">
        <v>322</v>
      </c>
      <c r="E38" s="20" t="n">
        <v>43598</v>
      </c>
      <c r="F38" s="20" t="n">
        <v>44329</v>
      </c>
      <c r="G38" s="17" t="s">
        <v>258</v>
      </c>
      <c r="H38" s="21" t="n">
        <v>3500</v>
      </c>
    </row>
    <row r="39" customFormat="false" ht="15" hidden="false" customHeight="true" outlineLevel="0" collapsed="false">
      <c r="A39" s="17" t="s">
        <v>323</v>
      </c>
      <c r="B39" s="17" t="s">
        <v>179</v>
      </c>
      <c r="C39" s="8" t="s">
        <v>270</v>
      </c>
      <c r="D39" s="8" t="s">
        <v>281</v>
      </c>
      <c r="E39" s="20" t="n">
        <v>43399</v>
      </c>
      <c r="F39" s="20" t="n">
        <v>44495</v>
      </c>
      <c r="G39" s="17" t="s">
        <v>258</v>
      </c>
      <c r="H39" s="21" t="n">
        <v>3500</v>
      </c>
    </row>
    <row r="40" customFormat="false" ht="15" hidden="false" customHeight="true" outlineLevel="0" collapsed="false">
      <c r="A40" s="17" t="s">
        <v>324</v>
      </c>
      <c r="B40" s="17" t="s">
        <v>179</v>
      </c>
      <c r="C40" s="8" t="s">
        <v>260</v>
      </c>
      <c r="D40" s="8" t="s">
        <v>261</v>
      </c>
      <c r="E40" s="20" t="n">
        <v>45507</v>
      </c>
      <c r="F40" s="20" t="n">
        <v>47333</v>
      </c>
      <c r="G40" s="17" t="s">
        <v>304</v>
      </c>
      <c r="H40" s="21" t="n">
        <v>1200</v>
      </c>
    </row>
    <row r="41" customFormat="false" ht="15" hidden="false" customHeight="true" outlineLevel="0" collapsed="false">
      <c r="A41" s="17" t="s">
        <v>325</v>
      </c>
      <c r="B41" s="17" t="s">
        <v>179</v>
      </c>
      <c r="C41" s="8" t="s">
        <v>256</v>
      </c>
      <c r="D41" s="8" t="s">
        <v>300</v>
      </c>
      <c r="E41" s="20" t="n">
        <v>44253</v>
      </c>
      <c r="F41" s="20" t="n">
        <v>46079</v>
      </c>
      <c r="G41" s="17" t="s">
        <v>258</v>
      </c>
      <c r="H41" s="21" t="n">
        <v>750</v>
      </c>
    </row>
    <row r="42" customFormat="false" ht="15" hidden="false" customHeight="true" outlineLevel="0" collapsed="false">
      <c r="A42" s="17" t="s">
        <v>326</v>
      </c>
      <c r="B42" s="17" t="s">
        <v>179</v>
      </c>
      <c r="C42" s="8" t="s">
        <v>263</v>
      </c>
      <c r="D42" s="8" t="s">
        <v>293</v>
      </c>
      <c r="E42" s="20" t="n">
        <v>43632</v>
      </c>
      <c r="F42" s="20" t="n">
        <v>44728</v>
      </c>
      <c r="G42" s="17" t="s">
        <v>258</v>
      </c>
      <c r="H42" s="21" t="n">
        <v>320</v>
      </c>
    </row>
    <row r="43" customFormat="false" ht="15" hidden="false" customHeight="true" outlineLevel="0" collapsed="false">
      <c r="A43" s="17" t="s">
        <v>327</v>
      </c>
      <c r="B43" s="17" t="s">
        <v>179</v>
      </c>
      <c r="C43" s="8" t="s">
        <v>263</v>
      </c>
      <c r="D43" s="8" t="s">
        <v>264</v>
      </c>
      <c r="E43" s="20" t="n">
        <v>45050</v>
      </c>
      <c r="F43" s="20" t="n">
        <v>46877</v>
      </c>
      <c r="G43" s="17" t="s">
        <v>258</v>
      </c>
      <c r="H43" s="21" t="n">
        <v>12000</v>
      </c>
    </row>
    <row r="44" customFormat="false" ht="15" hidden="false" customHeight="true" outlineLevel="0" collapsed="false">
      <c r="A44" s="17" t="s">
        <v>328</v>
      </c>
      <c r="B44" s="17" t="s">
        <v>179</v>
      </c>
      <c r="C44" s="8" t="s">
        <v>309</v>
      </c>
      <c r="D44" s="8" t="s">
        <v>313</v>
      </c>
      <c r="E44" s="20" t="n">
        <v>43351</v>
      </c>
      <c r="F44" s="20" t="n">
        <v>44447</v>
      </c>
      <c r="G44" s="17" t="s">
        <v>304</v>
      </c>
      <c r="H44" s="21" t="n">
        <v>2500</v>
      </c>
    </row>
    <row r="45" customFormat="false" ht="15" hidden="false" customHeight="true" outlineLevel="0" collapsed="false">
      <c r="A45" s="17" t="s">
        <v>329</v>
      </c>
      <c r="B45" s="17" t="s">
        <v>184</v>
      </c>
      <c r="C45" s="8" t="s">
        <v>263</v>
      </c>
      <c r="D45" s="8" t="s">
        <v>293</v>
      </c>
      <c r="E45" s="20" t="n">
        <v>43406</v>
      </c>
      <c r="F45" s="20" t="n">
        <v>45232</v>
      </c>
      <c r="G45" s="17" t="s">
        <v>304</v>
      </c>
      <c r="H45" s="21" t="n">
        <v>7800</v>
      </c>
    </row>
    <row r="46" customFormat="false" ht="15" hidden="false" customHeight="true" outlineLevel="0" collapsed="false">
      <c r="A46" s="17" t="s">
        <v>330</v>
      </c>
      <c r="B46" s="17" t="s">
        <v>184</v>
      </c>
      <c r="C46" s="8" t="s">
        <v>309</v>
      </c>
      <c r="D46" s="8" t="s">
        <v>313</v>
      </c>
      <c r="E46" s="20" t="n">
        <v>44100</v>
      </c>
      <c r="F46" s="20" t="n">
        <v>45195</v>
      </c>
      <c r="G46" s="17" t="s">
        <v>258</v>
      </c>
      <c r="H46" s="21" t="n">
        <v>5200</v>
      </c>
    </row>
    <row r="47" customFormat="false" ht="15" hidden="false" customHeight="true" outlineLevel="0" collapsed="false">
      <c r="A47" s="17" t="s">
        <v>331</v>
      </c>
      <c r="B47" s="17" t="s">
        <v>184</v>
      </c>
      <c r="C47" s="8" t="s">
        <v>260</v>
      </c>
      <c r="D47" s="8" t="s">
        <v>332</v>
      </c>
      <c r="E47" s="20" t="n">
        <v>44116</v>
      </c>
      <c r="F47" s="20" t="n">
        <v>45942</v>
      </c>
      <c r="G47" s="17" t="s">
        <v>258</v>
      </c>
      <c r="H47" s="21" t="n">
        <v>3500</v>
      </c>
    </row>
    <row r="48" customFormat="false" ht="15" hidden="false" customHeight="true" outlineLevel="0" collapsed="false">
      <c r="A48" s="17" t="s">
        <v>333</v>
      </c>
      <c r="B48" s="17" t="s">
        <v>184</v>
      </c>
      <c r="C48" s="8" t="s">
        <v>270</v>
      </c>
      <c r="D48" s="8" t="s">
        <v>271</v>
      </c>
      <c r="E48" s="20" t="n">
        <v>43795</v>
      </c>
      <c r="F48" s="20" t="n">
        <v>45622</v>
      </c>
      <c r="G48" s="17" t="s">
        <v>258</v>
      </c>
      <c r="H48" s="21" t="n">
        <v>2500</v>
      </c>
    </row>
    <row r="49" customFormat="false" ht="15" hidden="false" customHeight="true" outlineLevel="0" collapsed="false">
      <c r="A49" s="17" t="s">
        <v>334</v>
      </c>
      <c r="B49" s="17" t="s">
        <v>184</v>
      </c>
      <c r="C49" s="8" t="s">
        <v>266</v>
      </c>
      <c r="D49" s="8" t="s">
        <v>307</v>
      </c>
      <c r="E49" s="20" t="n">
        <v>45465</v>
      </c>
      <c r="F49" s="20" t="n">
        <v>47291</v>
      </c>
      <c r="G49" s="17" t="s">
        <v>304</v>
      </c>
      <c r="H49" s="21" t="n">
        <v>480</v>
      </c>
    </row>
    <row r="50" customFormat="false" ht="15" hidden="false" customHeight="true" outlineLevel="0" collapsed="false">
      <c r="A50" s="17" t="s">
        <v>335</v>
      </c>
      <c r="B50" s="17" t="s">
        <v>188</v>
      </c>
      <c r="C50" s="8" t="s">
        <v>263</v>
      </c>
      <c r="D50" s="8" t="s">
        <v>302</v>
      </c>
      <c r="E50" s="20" t="n">
        <v>45088</v>
      </c>
      <c r="F50" s="20" t="n">
        <v>45819</v>
      </c>
      <c r="G50" s="17" t="s">
        <v>258</v>
      </c>
      <c r="H50" s="21" t="n">
        <v>320</v>
      </c>
    </row>
    <row r="51" customFormat="false" ht="15" hidden="false" customHeight="true" outlineLevel="0" collapsed="false">
      <c r="A51" s="17" t="s">
        <v>336</v>
      </c>
      <c r="B51" s="17" t="s">
        <v>188</v>
      </c>
      <c r="C51" s="8" t="s">
        <v>289</v>
      </c>
      <c r="D51" s="8" t="s">
        <v>337</v>
      </c>
      <c r="E51" s="20" t="n">
        <v>45469</v>
      </c>
      <c r="F51" s="20" t="n">
        <v>46199</v>
      </c>
      <c r="G51" s="17" t="s">
        <v>258</v>
      </c>
      <c r="H51" s="21" t="n">
        <v>12000</v>
      </c>
    </row>
    <row r="52" customFormat="false" ht="15" hidden="false" customHeight="true" outlineLevel="0" collapsed="false">
      <c r="A52" s="17" t="s">
        <v>338</v>
      </c>
      <c r="B52" s="17" t="s">
        <v>188</v>
      </c>
      <c r="C52" s="8" t="s">
        <v>309</v>
      </c>
      <c r="D52" s="8" t="s">
        <v>313</v>
      </c>
      <c r="E52" s="20" t="n">
        <v>44617</v>
      </c>
      <c r="F52" s="20" t="n">
        <v>45347</v>
      </c>
      <c r="G52" s="17" t="s">
        <v>258</v>
      </c>
      <c r="H52" s="21" t="n">
        <v>5200</v>
      </c>
    </row>
    <row r="53" customFormat="false" ht="15" hidden="false" customHeight="true" outlineLevel="0" collapsed="false">
      <c r="A53" s="17" t="s">
        <v>339</v>
      </c>
      <c r="B53" s="17" t="s">
        <v>188</v>
      </c>
      <c r="C53" s="8" t="s">
        <v>266</v>
      </c>
      <c r="D53" s="8" t="s">
        <v>307</v>
      </c>
      <c r="E53" s="20" t="n">
        <v>45606</v>
      </c>
      <c r="F53" s="20" t="n">
        <v>47432</v>
      </c>
      <c r="G53" s="17" t="s">
        <v>258</v>
      </c>
      <c r="H53" s="21" t="n">
        <v>12000</v>
      </c>
    </row>
    <row r="54" customFormat="false" ht="15" hidden="false" customHeight="true" outlineLevel="0" collapsed="false">
      <c r="A54" s="17" t="s">
        <v>340</v>
      </c>
      <c r="B54" s="17" t="s">
        <v>188</v>
      </c>
      <c r="C54" s="8" t="s">
        <v>266</v>
      </c>
      <c r="D54" s="8" t="s">
        <v>295</v>
      </c>
      <c r="E54" s="20" t="n">
        <v>45026</v>
      </c>
      <c r="F54" s="20" t="n">
        <v>46122</v>
      </c>
      <c r="G54" s="17" t="s">
        <v>258</v>
      </c>
      <c r="H54" s="21" t="n">
        <v>2500</v>
      </c>
    </row>
    <row r="55" customFormat="false" ht="15" hidden="false" customHeight="true" outlineLevel="0" collapsed="false">
      <c r="A55" s="17" t="s">
        <v>341</v>
      </c>
      <c r="B55" s="17" t="s">
        <v>188</v>
      </c>
      <c r="C55" s="8" t="s">
        <v>309</v>
      </c>
      <c r="D55" s="8" t="s">
        <v>322</v>
      </c>
      <c r="E55" s="20" t="n">
        <v>44769</v>
      </c>
      <c r="F55" s="20" t="n">
        <v>45865</v>
      </c>
      <c r="G55" s="17" t="s">
        <v>258</v>
      </c>
      <c r="H55" s="21" t="n">
        <v>3500</v>
      </c>
    </row>
    <row r="56" customFormat="false" ht="15" hidden="false" customHeight="true" outlineLevel="0" collapsed="false">
      <c r="A56" s="17" t="s">
        <v>342</v>
      </c>
      <c r="B56" s="17" t="s">
        <v>188</v>
      </c>
      <c r="C56" s="8" t="s">
        <v>289</v>
      </c>
      <c r="D56" s="8" t="s">
        <v>315</v>
      </c>
      <c r="E56" s="20" t="n">
        <v>43723</v>
      </c>
      <c r="F56" s="20" t="n">
        <v>45550</v>
      </c>
      <c r="G56" s="17" t="s">
        <v>258</v>
      </c>
      <c r="H56" s="21" t="n">
        <v>2500</v>
      </c>
    </row>
    <row r="57" customFormat="false" ht="15" hidden="false" customHeight="true" outlineLevel="0" collapsed="false">
      <c r="A57" s="17" t="s">
        <v>343</v>
      </c>
      <c r="B57" s="17" t="s">
        <v>192</v>
      </c>
      <c r="C57" s="8" t="s">
        <v>260</v>
      </c>
      <c r="D57" s="8" t="s">
        <v>261</v>
      </c>
      <c r="E57" s="20" t="n">
        <v>43176</v>
      </c>
      <c r="F57" s="20" t="n">
        <v>43907</v>
      </c>
      <c r="G57" s="17" t="s">
        <v>258</v>
      </c>
      <c r="H57" s="21" t="n">
        <v>2500</v>
      </c>
    </row>
    <row r="58" customFormat="false" ht="15" hidden="false" customHeight="true" outlineLevel="0" collapsed="false">
      <c r="A58" s="17" t="s">
        <v>344</v>
      </c>
      <c r="B58" s="17" t="s">
        <v>192</v>
      </c>
      <c r="C58" s="8" t="s">
        <v>256</v>
      </c>
      <c r="D58" s="8" t="s">
        <v>257</v>
      </c>
      <c r="E58" s="20" t="n">
        <v>45428</v>
      </c>
      <c r="F58" s="20" t="n">
        <v>46158</v>
      </c>
      <c r="G58" s="17" t="s">
        <v>258</v>
      </c>
      <c r="H58" s="21" t="n">
        <v>5200</v>
      </c>
    </row>
    <row r="59" customFormat="false" ht="15" hidden="false" customHeight="true" outlineLevel="0" collapsed="false">
      <c r="A59" s="17" t="s">
        <v>345</v>
      </c>
      <c r="B59" s="17" t="s">
        <v>192</v>
      </c>
      <c r="C59" s="8" t="s">
        <v>270</v>
      </c>
      <c r="D59" s="8" t="s">
        <v>281</v>
      </c>
      <c r="E59" s="20" t="n">
        <v>43506</v>
      </c>
      <c r="F59" s="20" t="n">
        <v>44237</v>
      </c>
      <c r="G59" s="17" t="s">
        <v>304</v>
      </c>
      <c r="H59" s="21" t="n">
        <v>750</v>
      </c>
    </row>
    <row r="60" customFormat="false" ht="26.25" hidden="false" customHeight="true" outlineLevel="0" collapsed="false">
      <c r="A60" s="17" t="s">
        <v>346</v>
      </c>
      <c r="B60" s="17" t="s">
        <v>192</v>
      </c>
      <c r="C60" s="8" t="s">
        <v>260</v>
      </c>
      <c r="D60" s="8" t="s">
        <v>261</v>
      </c>
      <c r="E60" s="20" t="n">
        <v>45217</v>
      </c>
      <c r="F60" s="20" t="n">
        <v>47044</v>
      </c>
      <c r="G60" s="17" t="s">
        <v>268</v>
      </c>
      <c r="H60" s="21" t="n">
        <v>1800</v>
      </c>
    </row>
    <row r="61" customFormat="false" ht="15" hidden="false" customHeight="true" outlineLevel="0" collapsed="false">
      <c r="A61" s="17" t="s">
        <v>347</v>
      </c>
      <c r="B61" s="17" t="s">
        <v>192</v>
      </c>
      <c r="C61" s="8" t="s">
        <v>289</v>
      </c>
      <c r="D61" s="8" t="s">
        <v>317</v>
      </c>
      <c r="E61" s="20" t="n">
        <v>43503</v>
      </c>
      <c r="F61" s="20" t="n">
        <v>44234</v>
      </c>
      <c r="G61" s="17" t="s">
        <v>304</v>
      </c>
      <c r="H61" s="21" t="n">
        <v>480</v>
      </c>
    </row>
    <row r="62" customFormat="false" ht="15" hidden="false" customHeight="true" outlineLevel="0" collapsed="false">
      <c r="A62" s="17" t="s">
        <v>348</v>
      </c>
      <c r="B62" s="17" t="s">
        <v>192</v>
      </c>
      <c r="C62" s="8" t="s">
        <v>270</v>
      </c>
      <c r="D62" s="8" t="s">
        <v>278</v>
      </c>
      <c r="E62" s="20" t="n">
        <v>43414</v>
      </c>
      <c r="F62" s="20" t="n">
        <v>45240</v>
      </c>
      <c r="G62" s="17" t="s">
        <v>304</v>
      </c>
      <c r="H62" s="21" t="n">
        <v>750</v>
      </c>
    </row>
    <row r="63" customFormat="false" ht="15" hidden="false" customHeight="true" outlineLevel="0" collapsed="false">
      <c r="A63" s="17" t="s">
        <v>349</v>
      </c>
      <c r="B63" s="17" t="s">
        <v>192</v>
      </c>
      <c r="C63" s="8" t="s">
        <v>263</v>
      </c>
      <c r="D63" s="8" t="s">
        <v>293</v>
      </c>
      <c r="E63" s="20" t="n">
        <v>44278</v>
      </c>
      <c r="F63" s="20" t="n">
        <v>46104</v>
      </c>
      <c r="G63" s="17" t="s">
        <v>258</v>
      </c>
      <c r="H63" s="21" t="n">
        <v>2500</v>
      </c>
    </row>
    <row r="64" customFormat="false" ht="15" hidden="false" customHeight="true" outlineLevel="0" collapsed="false">
      <c r="A64" s="17" t="s">
        <v>350</v>
      </c>
      <c r="B64" s="17" t="s">
        <v>194</v>
      </c>
      <c r="C64" s="8" t="s">
        <v>289</v>
      </c>
      <c r="D64" s="8" t="s">
        <v>317</v>
      </c>
      <c r="E64" s="20" t="n">
        <v>44747</v>
      </c>
      <c r="F64" s="20" t="n">
        <v>45478</v>
      </c>
      <c r="G64" s="17" t="s">
        <v>304</v>
      </c>
      <c r="H64" s="21" t="n">
        <v>5200</v>
      </c>
    </row>
    <row r="65" customFormat="false" ht="15" hidden="false" customHeight="true" outlineLevel="0" collapsed="false">
      <c r="A65" s="17" t="s">
        <v>351</v>
      </c>
      <c r="B65" s="17" t="s">
        <v>194</v>
      </c>
      <c r="C65" s="8" t="s">
        <v>270</v>
      </c>
      <c r="D65" s="8" t="s">
        <v>278</v>
      </c>
      <c r="E65" s="20" t="n">
        <v>43552</v>
      </c>
      <c r="F65" s="20" t="n">
        <v>44648</v>
      </c>
      <c r="G65" s="17" t="s">
        <v>258</v>
      </c>
      <c r="H65" s="21" t="n">
        <v>7800</v>
      </c>
    </row>
    <row r="66" customFormat="false" ht="15" hidden="false" customHeight="true" outlineLevel="0" collapsed="false">
      <c r="A66" s="17" t="s">
        <v>352</v>
      </c>
      <c r="B66" s="17" t="s">
        <v>194</v>
      </c>
      <c r="C66" s="8" t="s">
        <v>256</v>
      </c>
      <c r="D66" s="8" t="s">
        <v>300</v>
      </c>
      <c r="E66" s="20" t="n">
        <v>43903</v>
      </c>
      <c r="F66" s="20" t="n">
        <v>44633</v>
      </c>
      <c r="G66" s="17" t="s">
        <v>258</v>
      </c>
      <c r="H66" s="21" t="n">
        <v>320</v>
      </c>
    </row>
    <row r="67" customFormat="false" ht="15" hidden="false" customHeight="true" outlineLevel="0" collapsed="false">
      <c r="A67" s="17" t="s">
        <v>353</v>
      </c>
      <c r="B67" s="17" t="s">
        <v>194</v>
      </c>
      <c r="C67" s="8" t="s">
        <v>256</v>
      </c>
      <c r="D67" s="8" t="s">
        <v>274</v>
      </c>
      <c r="E67" s="20" t="n">
        <v>43246</v>
      </c>
      <c r="F67" s="20" t="n">
        <v>43977</v>
      </c>
      <c r="G67" s="17" t="s">
        <v>258</v>
      </c>
      <c r="H67" s="21" t="n">
        <v>480</v>
      </c>
    </row>
    <row r="68" customFormat="false" ht="15" hidden="false" customHeight="true" outlineLevel="0" collapsed="false">
      <c r="A68" s="17" t="s">
        <v>354</v>
      </c>
      <c r="B68" s="17" t="s">
        <v>194</v>
      </c>
      <c r="C68" s="8" t="s">
        <v>289</v>
      </c>
      <c r="D68" s="8" t="s">
        <v>317</v>
      </c>
      <c r="E68" s="20" t="n">
        <v>43709</v>
      </c>
      <c r="F68" s="20" t="n">
        <v>44805</v>
      </c>
      <c r="G68" s="17" t="s">
        <v>304</v>
      </c>
      <c r="H68" s="21" t="n">
        <v>7800</v>
      </c>
    </row>
    <row r="69" customFormat="false" ht="15" hidden="false" customHeight="true" outlineLevel="0" collapsed="false">
      <c r="A69" s="17" t="s">
        <v>355</v>
      </c>
      <c r="B69" s="17" t="s">
        <v>194</v>
      </c>
      <c r="C69" s="8" t="s">
        <v>263</v>
      </c>
      <c r="D69" s="8" t="s">
        <v>302</v>
      </c>
      <c r="E69" s="20" t="n">
        <v>45288</v>
      </c>
      <c r="F69" s="20" t="n">
        <v>47115</v>
      </c>
      <c r="G69" s="17" t="s">
        <v>304</v>
      </c>
      <c r="H69" s="21" t="n">
        <v>3500</v>
      </c>
    </row>
    <row r="70" customFormat="false" ht="15" hidden="false" customHeight="true" outlineLevel="0" collapsed="false">
      <c r="A70" s="17" t="s">
        <v>356</v>
      </c>
      <c r="B70" s="17" t="s">
        <v>194</v>
      </c>
      <c r="C70" s="8" t="s">
        <v>283</v>
      </c>
      <c r="D70" s="8" t="s">
        <v>284</v>
      </c>
      <c r="E70" s="20" t="n">
        <v>45554</v>
      </c>
      <c r="F70" s="20" t="n">
        <v>46284</v>
      </c>
      <c r="G70" s="17" t="s">
        <v>258</v>
      </c>
      <c r="H70" s="21" t="n">
        <v>12000</v>
      </c>
    </row>
    <row r="71" customFormat="false" ht="15" hidden="false" customHeight="true" outlineLevel="0" collapsed="false">
      <c r="A71" s="17" t="s">
        <v>357</v>
      </c>
      <c r="B71" s="17" t="s">
        <v>194</v>
      </c>
      <c r="C71" s="8" t="s">
        <v>283</v>
      </c>
      <c r="D71" s="8" t="s">
        <v>358</v>
      </c>
      <c r="E71" s="20" t="n">
        <v>45127</v>
      </c>
      <c r="F71" s="20" t="n">
        <v>46954</v>
      </c>
      <c r="G71" s="17" t="s">
        <v>258</v>
      </c>
      <c r="H71" s="21" t="n">
        <v>1200</v>
      </c>
    </row>
    <row r="72" customFormat="false" ht="15" hidden="false" customHeight="true" outlineLevel="0" collapsed="false">
      <c r="A72" s="17" t="s">
        <v>359</v>
      </c>
      <c r="B72" s="17" t="s">
        <v>194</v>
      </c>
      <c r="C72" s="8" t="s">
        <v>256</v>
      </c>
      <c r="D72" s="8" t="s">
        <v>274</v>
      </c>
      <c r="E72" s="20" t="n">
        <v>45615</v>
      </c>
      <c r="F72" s="20" t="n">
        <v>46710</v>
      </c>
      <c r="G72" s="17" t="s">
        <v>258</v>
      </c>
      <c r="H72" s="21" t="n">
        <v>5200</v>
      </c>
    </row>
    <row r="73" customFormat="false" ht="26.25" hidden="false" customHeight="true" outlineLevel="0" collapsed="false">
      <c r="A73" s="17" t="s">
        <v>360</v>
      </c>
      <c r="B73" s="17" t="s">
        <v>198</v>
      </c>
      <c r="C73" s="8" t="s">
        <v>283</v>
      </c>
      <c r="D73" s="8" t="s">
        <v>284</v>
      </c>
      <c r="E73" s="20" t="n">
        <v>43620</v>
      </c>
      <c r="F73" s="20" t="n">
        <v>45447</v>
      </c>
      <c r="G73" s="17" t="s">
        <v>268</v>
      </c>
      <c r="H73" s="21" t="n">
        <v>320</v>
      </c>
    </row>
    <row r="74" customFormat="false" ht="15" hidden="false" customHeight="true" outlineLevel="0" collapsed="false">
      <c r="A74" s="17" t="s">
        <v>361</v>
      </c>
      <c r="B74" s="17" t="s">
        <v>198</v>
      </c>
      <c r="C74" s="8" t="s">
        <v>283</v>
      </c>
      <c r="D74" s="8" t="s">
        <v>358</v>
      </c>
      <c r="E74" s="20" t="n">
        <v>43867</v>
      </c>
      <c r="F74" s="20" t="n">
        <v>45694</v>
      </c>
      <c r="G74" s="17" t="s">
        <v>258</v>
      </c>
      <c r="H74" s="21" t="n">
        <v>7800</v>
      </c>
    </row>
    <row r="75" customFormat="false" ht="15" hidden="false" customHeight="true" outlineLevel="0" collapsed="false">
      <c r="A75" s="17" t="s">
        <v>362</v>
      </c>
      <c r="B75" s="17" t="s">
        <v>198</v>
      </c>
      <c r="C75" s="8" t="s">
        <v>266</v>
      </c>
      <c r="D75" s="8" t="s">
        <v>267</v>
      </c>
      <c r="E75" s="20" t="n">
        <v>43772</v>
      </c>
      <c r="F75" s="20" t="n">
        <v>44868</v>
      </c>
      <c r="G75" s="17" t="s">
        <v>258</v>
      </c>
      <c r="H75" s="21" t="n">
        <v>750</v>
      </c>
    </row>
    <row r="76" customFormat="false" ht="15" hidden="false" customHeight="true" outlineLevel="0" collapsed="false">
      <c r="A76" s="17" t="s">
        <v>363</v>
      </c>
      <c r="B76" s="17" t="s">
        <v>198</v>
      </c>
      <c r="C76" s="8" t="s">
        <v>256</v>
      </c>
      <c r="D76" s="8" t="s">
        <v>257</v>
      </c>
      <c r="E76" s="20" t="n">
        <v>44831</v>
      </c>
      <c r="F76" s="20" t="n">
        <v>45562</v>
      </c>
      <c r="G76" s="17" t="s">
        <v>258</v>
      </c>
      <c r="H76" s="21" t="n">
        <v>1200</v>
      </c>
    </row>
    <row r="77" customFormat="false" ht="15" hidden="false" customHeight="true" outlineLevel="0" collapsed="false">
      <c r="A77" s="17" t="s">
        <v>364</v>
      </c>
      <c r="B77" s="17" t="s">
        <v>198</v>
      </c>
      <c r="C77" s="8" t="s">
        <v>256</v>
      </c>
      <c r="D77" s="8" t="s">
        <v>274</v>
      </c>
      <c r="E77" s="20" t="n">
        <v>43436</v>
      </c>
      <c r="F77" s="20" t="n">
        <v>44167</v>
      </c>
      <c r="G77" s="17" t="s">
        <v>258</v>
      </c>
      <c r="H77" s="21" t="n">
        <v>750</v>
      </c>
    </row>
    <row r="78" customFormat="false" ht="15" hidden="false" customHeight="true" outlineLevel="0" collapsed="false">
      <c r="A78" s="17" t="s">
        <v>365</v>
      </c>
      <c r="B78" s="17" t="s">
        <v>198</v>
      </c>
      <c r="C78" s="8" t="s">
        <v>266</v>
      </c>
      <c r="D78" s="8" t="s">
        <v>295</v>
      </c>
      <c r="E78" s="20" t="n">
        <v>43823</v>
      </c>
      <c r="F78" s="20" t="n">
        <v>44919</v>
      </c>
      <c r="G78" s="17" t="s">
        <v>258</v>
      </c>
      <c r="H78" s="21" t="n">
        <v>1800</v>
      </c>
    </row>
    <row r="79" customFormat="false" ht="15" hidden="false" customHeight="true" outlineLevel="0" collapsed="false">
      <c r="A79" s="17" t="s">
        <v>366</v>
      </c>
      <c r="B79" s="17" t="s">
        <v>198</v>
      </c>
      <c r="C79" s="8" t="s">
        <v>260</v>
      </c>
      <c r="D79" s="8" t="s">
        <v>261</v>
      </c>
      <c r="E79" s="20" t="n">
        <v>44744</v>
      </c>
      <c r="F79" s="20" t="n">
        <v>45475</v>
      </c>
      <c r="G79" s="17" t="s">
        <v>258</v>
      </c>
      <c r="H79" s="21" t="n">
        <v>480</v>
      </c>
    </row>
    <row r="80" customFormat="false" ht="15" hidden="false" customHeight="true" outlineLevel="0" collapsed="false">
      <c r="A80" s="17" t="s">
        <v>367</v>
      </c>
      <c r="B80" s="17" t="s">
        <v>198</v>
      </c>
      <c r="C80" s="8" t="s">
        <v>256</v>
      </c>
      <c r="D80" s="8" t="s">
        <v>274</v>
      </c>
      <c r="E80" s="20" t="n">
        <v>45072</v>
      </c>
      <c r="F80" s="20" t="n">
        <v>45803</v>
      </c>
      <c r="G80" s="17" t="s">
        <v>258</v>
      </c>
      <c r="H80" s="21" t="n">
        <v>3500</v>
      </c>
    </row>
    <row r="81" customFormat="false" ht="15" hidden="false" customHeight="true" outlineLevel="0" collapsed="false">
      <c r="A81" s="17" t="s">
        <v>368</v>
      </c>
      <c r="B81" s="17" t="s">
        <v>198</v>
      </c>
      <c r="C81" s="8" t="s">
        <v>283</v>
      </c>
      <c r="D81" s="8" t="s">
        <v>284</v>
      </c>
      <c r="E81" s="20" t="n">
        <v>43481</v>
      </c>
      <c r="F81" s="20" t="n">
        <v>44577</v>
      </c>
      <c r="G81" s="17" t="s">
        <v>304</v>
      </c>
      <c r="H81" s="21" t="n">
        <v>1800</v>
      </c>
    </row>
    <row r="82" customFormat="false" ht="15" hidden="false" customHeight="true" outlineLevel="0" collapsed="false">
      <c r="A82" s="17" t="s">
        <v>369</v>
      </c>
      <c r="B82" s="17" t="s">
        <v>200</v>
      </c>
      <c r="C82" s="8" t="s">
        <v>260</v>
      </c>
      <c r="D82" s="8" t="s">
        <v>261</v>
      </c>
      <c r="E82" s="20" t="n">
        <v>45484</v>
      </c>
      <c r="F82" s="20" t="n">
        <v>47310</v>
      </c>
      <c r="G82" s="17" t="s">
        <v>258</v>
      </c>
      <c r="H82" s="21" t="n">
        <v>1800</v>
      </c>
    </row>
    <row r="83" customFormat="false" ht="15" hidden="false" customHeight="true" outlineLevel="0" collapsed="false">
      <c r="A83" s="17" t="s">
        <v>370</v>
      </c>
      <c r="B83" s="17" t="s">
        <v>200</v>
      </c>
      <c r="C83" s="8" t="s">
        <v>270</v>
      </c>
      <c r="D83" s="8" t="s">
        <v>281</v>
      </c>
      <c r="E83" s="20" t="n">
        <v>44336</v>
      </c>
      <c r="F83" s="20" t="n">
        <v>45432</v>
      </c>
      <c r="G83" s="17" t="s">
        <v>258</v>
      </c>
      <c r="H83" s="21" t="n">
        <v>750</v>
      </c>
    </row>
    <row r="84" customFormat="false" ht="15" hidden="false" customHeight="true" outlineLevel="0" collapsed="false">
      <c r="A84" s="17" t="s">
        <v>371</v>
      </c>
      <c r="B84" s="17" t="s">
        <v>200</v>
      </c>
      <c r="C84" s="8" t="s">
        <v>283</v>
      </c>
      <c r="D84" s="8" t="s">
        <v>284</v>
      </c>
      <c r="E84" s="20" t="n">
        <v>45371</v>
      </c>
      <c r="F84" s="20" t="n">
        <v>46101</v>
      </c>
      <c r="G84" s="17" t="s">
        <v>258</v>
      </c>
      <c r="H84" s="21" t="n">
        <v>1800</v>
      </c>
    </row>
    <row r="85" customFormat="false" ht="15" hidden="false" customHeight="true" outlineLevel="0" collapsed="false">
      <c r="A85" s="17" t="s">
        <v>372</v>
      </c>
      <c r="B85" s="17" t="s">
        <v>200</v>
      </c>
      <c r="C85" s="8" t="s">
        <v>266</v>
      </c>
      <c r="D85" s="8" t="s">
        <v>307</v>
      </c>
      <c r="E85" s="20" t="n">
        <v>44248</v>
      </c>
      <c r="F85" s="20" t="n">
        <v>45343</v>
      </c>
      <c r="G85" s="17" t="s">
        <v>258</v>
      </c>
      <c r="H85" s="21" t="n">
        <v>12000</v>
      </c>
    </row>
    <row r="86" customFormat="false" ht="15" hidden="false" customHeight="true" outlineLevel="0" collapsed="false">
      <c r="A86" s="17" t="s">
        <v>373</v>
      </c>
      <c r="B86" s="17" t="s">
        <v>200</v>
      </c>
      <c r="C86" s="8" t="s">
        <v>266</v>
      </c>
      <c r="D86" s="8" t="s">
        <v>267</v>
      </c>
      <c r="E86" s="20" t="n">
        <v>43207</v>
      </c>
      <c r="F86" s="20" t="n">
        <v>43938</v>
      </c>
      <c r="G86" s="17" t="s">
        <v>258</v>
      </c>
      <c r="H86" s="21" t="n">
        <v>2500</v>
      </c>
    </row>
    <row r="87" customFormat="false" ht="15" hidden="false" customHeight="true" outlineLevel="0" collapsed="false">
      <c r="A87" s="17" t="s">
        <v>374</v>
      </c>
      <c r="B87" s="17" t="s">
        <v>200</v>
      </c>
      <c r="C87" s="8" t="s">
        <v>256</v>
      </c>
      <c r="D87" s="8" t="s">
        <v>274</v>
      </c>
      <c r="E87" s="20" t="n">
        <v>44870</v>
      </c>
      <c r="F87" s="20" t="n">
        <v>46696</v>
      </c>
      <c r="G87" s="17" t="s">
        <v>258</v>
      </c>
      <c r="H87" s="21" t="n">
        <v>750</v>
      </c>
    </row>
    <row r="88" customFormat="false" ht="15" hidden="false" customHeight="true" outlineLevel="0" collapsed="false">
      <c r="A88" s="17" t="s">
        <v>375</v>
      </c>
      <c r="B88" s="17" t="s">
        <v>204</v>
      </c>
      <c r="C88" s="8" t="s">
        <v>289</v>
      </c>
      <c r="D88" s="8" t="s">
        <v>317</v>
      </c>
      <c r="E88" s="20" t="n">
        <v>45025</v>
      </c>
      <c r="F88" s="20" t="n">
        <v>45756</v>
      </c>
      <c r="G88" s="17" t="s">
        <v>258</v>
      </c>
      <c r="H88" s="21" t="n">
        <v>2500</v>
      </c>
    </row>
    <row r="89" customFormat="false" ht="26.25" hidden="false" customHeight="true" outlineLevel="0" collapsed="false">
      <c r="A89" s="17" t="s">
        <v>376</v>
      </c>
      <c r="B89" s="17" t="s">
        <v>204</v>
      </c>
      <c r="C89" s="8" t="s">
        <v>283</v>
      </c>
      <c r="D89" s="8" t="s">
        <v>284</v>
      </c>
      <c r="E89" s="20" t="n">
        <v>43557</v>
      </c>
      <c r="F89" s="20" t="n">
        <v>44288</v>
      </c>
      <c r="G89" s="17" t="s">
        <v>268</v>
      </c>
      <c r="H89" s="21" t="n">
        <v>320</v>
      </c>
    </row>
    <row r="90" customFormat="false" ht="15" hidden="false" customHeight="true" outlineLevel="0" collapsed="false">
      <c r="A90" s="17" t="s">
        <v>377</v>
      </c>
      <c r="B90" s="17" t="s">
        <v>204</v>
      </c>
      <c r="C90" s="8" t="s">
        <v>256</v>
      </c>
      <c r="D90" s="8" t="s">
        <v>274</v>
      </c>
      <c r="E90" s="20" t="n">
        <v>45257</v>
      </c>
      <c r="F90" s="20" t="n">
        <v>46353</v>
      </c>
      <c r="G90" s="17" t="s">
        <v>258</v>
      </c>
      <c r="H90" s="21" t="n">
        <v>1200</v>
      </c>
    </row>
    <row r="91" customFormat="false" ht="15" hidden="false" customHeight="true" outlineLevel="0" collapsed="false">
      <c r="A91" s="17" t="s">
        <v>378</v>
      </c>
      <c r="B91" s="17" t="s">
        <v>204</v>
      </c>
      <c r="C91" s="8" t="s">
        <v>263</v>
      </c>
      <c r="D91" s="8" t="s">
        <v>302</v>
      </c>
      <c r="E91" s="20" t="n">
        <v>44487</v>
      </c>
      <c r="F91" s="20" t="n">
        <v>45583</v>
      </c>
      <c r="G91" s="17" t="s">
        <v>258</v>
      </c>
      <c r="H91" s="21" t="n">
        <v>2500</v>
      </c>
    </row>
    <row r="92" customFormat="false" ht="15" hidden="false" customHeight="true" outlineLevel="0" collapsed="false">
      <c r="A92" s="17" t="s">
        <v>379</v>
      </c>
      <c r="B92" s="17" t="s">
        <v>204</v>
      </c>
      <c r="C92" s="8" t="s">
        <v>260</v>
      </c>
      <c r="D92" s="8" t="s">
        <v>261</v>
      </c>
      <c r="E92" s="20" t="n">
        <v>44221</v>
      </c>
      <c r="F92" s="20" t="n">
        <v>44951</v>
      </c>
      <c r="G92" s="17" t="s">
        <v>258</v>
      </c>
      <c r="H92" s="21" t="n">
        <v>2500</v>
      </c>
    </row>
    <row r="93" customFormat="false" ht="15" hidden="false" customHeight="true" outlineLevel="0" collapsed="false">
      <c r="A93" s="17" t="s">
        <v>380</v>
      </c>
      <c r="B93" s="17" t="s">
        <v>204</v>
      </c>
      <c r="C93" s="8" t="s">
        <v>266</v>
      </c>
      <c r="D93" s="8" t="s">
        <v>295</v>
      </c>
      <c r="E93" s="20" t="n">
        <v>43635</v>
      </c>
      <c r="F93" s="20" t="n">
        <v>44366</v>
      </c>
      <c r="G93" s="17" t="s">
        <v>304</v>
      </c>
      <c r="H93" s="21" t="n">
        <v>2500</v>
      </c>
    </row>
    <row r="94" customFormat="false" ht="15" hidden="false" customHeight="true" outlineLevel="0" collapsed="false">
      <c r="A94" s="17" t="s">
        <v>381</v>
      </c>
      <c r="B94" s="17" t="s">
        <v>204</v>
      </c>
      <c r="C94" s="8" t="s">
        <v>260</v>
      </c>
      <c r="D94" s="8" t="s">
        <v>298</v>
      </c>
      <c r="E94" s="20" t="n">
        <v>44899</v>
      </c>
      <c r="F94" s="20" t="n">
        <v>45630</v>
      </c>
      <c r="G94" s="17" t="s">
        <v>258</v>
      </c>
      <c r="H94" s="21" t="n">
        <v>2500</v>
      </c>
    </row>
    <row r="95" customFormat="false" ht="15" hidden="false" customHeight="true" outlineLevel="0" collapsed="false">
      <c r="A95" s="17" t="s">
        <v>382</v>
      </c>
      <c r="B95" s="17" t="s">
        <v>204</v>
      </c>
      <c r="C95" s="8" t="s">
        <v>263</v>
      </c>
      <c r="D95" s="8" t="s">
        <v>293</v>
      </c>
      <c r="E95" s="20" t="n">
        <v>43466</v>
      </c>
      <c r="F95" s="20" t="n">
        <v>44197</v>
      </c>
      <c r="G95" s="17" t="s">
        <v>258</v>
      </c>
      <c r="H95" s="21" t="n">
        <v>2500</v>
      </c>
    </row>
    <row r="96" customFormat="false" ht="15" hidden="false" customHeight="true" outlineLevel="0" collapsed="false">
      <c r="A96" s="17" t="s">
        <v>383</v>
      </c>
      <c r="B96" s="17" t="s">
        <v>204</v>
      </c>
      <c r="C96" s="8" t="s">
        <v>309</v>
      </c>
      <c r="D96" s="8" t="s">
        <v>310</v>
      </c>
      <c r="E96" s="20" t="n">
        <v>44191</v>
      </c>
      <c r="F96" s="20" t="n">
        <v>45286</v>
      </c>
      <c r="G96" s="17" t="s">
        <v>258</v>
      </c>
      <c r="H96" s="21" t="n">
        <v>3500</v>
      </c>
    </row>
    <row r="97" customFormat="false" ht="15" hidden="false" customHeight="true" outlineLevel="0" collapsed="false">
      <c r="A97" s="17" t="s">
        <v>384</v>
      </c>
      <c r="B97" s="17" t="s">
        <v>207</v>
      </c>
      <c r="C97" s="8" t="s">
        <v>309</v>
      </c>
      <c r="D97" s="8" t="s">
        <v>322</v>
      </c>
      <c r="E97" s="20" t="n">
        <v>43845</v>
      </c>
      <c r="F97" s="20" t="n">
        <v>45672</v>
      </c>
      <c r="G97" s="17" t="s">
        <v>258</v>
      </c>
      <c r="H97" s="21" t="n">
        <v>320</v>
      </c>
    </row>
    <row r="98" customFormat="false" ht="15" hidden="false" customHeight="true" outlineLevel="0" collapsed="false">
      <c r="A98" s="17" t="s">
        <v>385</v>
      </c>
      <c r="B98" s="17" t="s">
        <v>207</v>
      </c>
      <c r="C98" s="8" t="s">
        <v>260</v>
      </c>
      <c r="D98" s="8" t="s">
        <v>332</v>
      </c>
      <c r="E98" s="20" t="n">
        <v>43261</v>
      </c>
      <c r="F98" s="20" t="n">
        <v>45087</v>
      </c>
      <c r="G98" s="17" t="s">
        <v>258</v>
      </c>
      <c r="H98" s="21" t="n">
        <v>480</v>
      </c>
    </row>
    <row r="99" customFormat="false" ht="15" hidden="false" customHeight="true" outlineLevel="0" collapsed="false">
      <c r="A99" s="17" t="s">
        <v>386</v>
      </c>
      <c r="B99" s="17" t="s">
        <v>207</v>
      </c>
      <c r="C99" s="8" t="s">
        <v>309</v>
      </c>
      <c r="D99" s="8" t="s">
        <v>310</v>
      </c>
      <c r="E99" s="20" t="n">
        <v>45171</v>
      </c>
      <c r="F99" s="20" t="n">
        <v>45902</v>
      </c>
      <c r="G99" s="17" t="s">
        <v>304</v>
      </c>
      <c r="H99" s="21" t="n">
        <v>1200</v>
      </c>
    </row>
    <row r="100" customFormat="false" ht="15" hidden="false" customHeight="true" outlineLevel="0" collapsed="false">
      <c r="A100" s="17" t="s">
        <v>387</v>
      </c>
      <c r="B100" s="17" t="s">
        <v>207</v>
      </c>
      <c r="C100" s="8" t="s">
        <v>283</v>
      </c>
      <c r="D100" s="8" t="s">
        <v>284</v>
      </c>
      <c r="E100" s="20" t="n">
        <v>45231</v>
      </c>
      <c r="F100" s="20" t="n">
        <v>46327</v>
      </c>
      <c r="G100" s="17" t="s">
        <v>258</v>
      </c>
      <c r="H100" s="21" t="n">
        <v>12000</v>
      </c>
    </row>
    <row r="101" customFormat="false" ht="15" hidden="false" customHeight="true" outlineLevel="0" collapsed="false">
      <c r="A101" s="17" t="s">
        <v>388</v>
      </c>
      <c r="B101" s="17" t="s">
        <v>207</v>
      </c>
      <c r="C101" s="8" t="s">
        <v>263</v>
      </c>
      <c r="D101" s="8" t="s">
        <v>293</v>
      </c>
      <c r="E101" s="20" t="n">
        <v>43165</v>
      </c>
      <c r="F101" s="20" t="n">
        <v>44991</v>
      </c>
      <c r="G101" s="17" t="s">
        <v>258</v>
      </c>
      <c r="H101" s="21" t="n">
        <v>3500</v>
      </c>
    </row>
    <row r="102" customFormat="false" ht="15" hidden="false" customHeight="true" outlineLevel="0" collapsed="false">
      <c r="A102" s="17" t="s">
        <v>389</v>
      </c>
      <c r="B102" s="17" t="s">
        <v>207</v>
      </c>
      <c r="C102" s="8" t="s">
        <v>283</v>
      </c>
      <c r="D102" s="8" t="s">
        <v>358</v>
      </c>
      <c r="E102" s="20" t="n">
        <v>43811</v>
      </c>
      <c r="F102" s="20" t="n">
        <v>45638</v>
      </c>
      <c r="G102" s="17" t="s">
        <v>304</v>
      </c>
      <c r="H102" s="21" t="n">
        <v>12000</v>
      </c>
    </row>
    <row r="103" customFormat="false" ht="15" hidden="false" customHeight="true" outlineLevel="0" collapsed="false">
      <c r="A103" s="17" t="s">
        <v>390</v>
      </c>
      <c r="B103" s="17" t="s">
        <v>207</v>
      </c>
      <c r="C103" s="8" t="s">
        <v>283</v>
      </c>
      <c r="D103" s="8" t="s">
        <v>358</v>
      </c>
      <c r="E103" s="20" t="n">
        <v>44730</v>
      </c>
      <c r="F103" s="20" t="n">
        <v>45461</v>
      </c>
      <c r="G103" s="17" t="s">
        <v>258</v>
      </c>
      <c r="H103" s="21" t="n">
        <v>2500</v>
      </c>
    </row>
    <row r="104" customFormat="false" ht="15" hidden="false" customHeight="true" outlineLevel="0" collapsed="false">
      <c r="A104" s="17" t="s">
        <v>391</v>
      </c>
      <c r="B104" s="17" t="s">
        <v>207</v>
      </c>
      <c r="C104" s="8" t="s">
        <v>266</v>
      </c>
      <c r="D104" s="8" t="s">
        <v>295</v>
      </c>
      <c r="E104" s="20" t="n">
        <v>44230</v>
      </c>
      <c r="F104" s="20" t="n">
        <v>46056</v>
      </c>
      <c r="G104" s="17" t="s">
        <v>258</v>
      </c>
      <c r="H104" s="21" t="n">
        <v>750</v>
      </c>
    </row>
    <row r="105" customFormat="false" ht="15" hidden="false" customHeight="true" outlineLevel="0" collapsed="false">
      <c r="A105" s="17" t="s">
        <v>392</v>
      </c>
      <c r="B105" s="17" t="s">
        <v>208</v>
      </c>
      <c r="C105" s="8" t="s">
        <v>263</v>
      </c>
      <c r="D105" s="8" t="s">
        <v>293</v>
      </c>
      <c r="E105" s="20" t="n">
        <v>45309</v>
      </c>
      <c r="F105" s="20" t="n">
        <v>46405</v>
      </c>
      <c r="G105" s="17" t="s">
        <v>304</v>
      </c>
      <c r="H105" s="21" t="n">
        <v>480</v>
      </c>
    </row>
    <row r="106" customFormat="false" ht="15" hidden="false" customHeight="true" outlineLevel="0" collapsed="false">
      <c r="A106" s="17" t="s">
        <v>393</v>
      </c>
      <c r="B106" s="17" t="s">
        <v>208</v>
      </c>
      <c r="C106" s="8" t="s">
        <v>289</v>
      </c>
      <c r="D106" s="8" t="s">
        <v>317</v>
      </c>
      <c r="E106" s="20" t="n">
        <v>44629</v>
      </c>
      <c r="F106" s="20" t="n">
        <v>46455</v>
      </c>
      <c r="G106" s="17" t="s">
        <v>258</v>
      </c>
      <c r="H106" s="21" t="n">
        <v>5200</v>
      </c>
    </row>
    <row r="107" customFormat="false" ht="15" hidden="false" customHeight="true" outlineLevel="0" collapsed="false">
      <c r="A107" s="17" t="s">
        <v>394</v>
      </c>
      <c r="B107" s="17" t="s">
        <v>208</v>
      </c>
      <c r="C107" s="8" t="s">
        <v>256</v>
      </c>
      <c r="D107" s="8" t="s">
        <v>257</v>
      </c>
      <c r="E107" s="20" t="n">
        <v>45163</v>
      </c>
      <c r="F107" s="20" t="n">
        <v>46259</v>
      </c>
      <c r="G107" s="17" t="s">
        <v>258</v>
      </c>
      <c r="H107" s="21" t="n">
        <v>320</v>
      </c>
    </row>
    <row r="108" customFormat="false" ht="15" hidden="false" customHeight="true" outlineLevel="0" collapsed="false">
      <c r="A108" s="17" t="s">
        <v>395</v>
      </c>
      <c r="B108" s="17" t="s">
        <v>208</v>
      </c>
      <c r="C108" s="8" t="s">
        <v>263</v>
      </c>
      <c r="D108" s="8" t="s">
        <v>302</v>
      </c>
      <c r="E108" s="20" t="n">
        <v>44197</v>
      </c>
      <c r="F108" s="20" t="n">
        <v>45292</v>
      </c>
      <c r="G108" s="17" t="s">
        <v>258</v>
      </c>
      <c r="H108" s="21" t="n">
        <v>2500</v>
      </c>
    </row>
    <row r="109" customFormat="false" ht="15" hidden="false" customHeight="true" outlineLevel="0" collapsed="false">
      <c r="A109" s="17" t="s">
        <v>396</v>
      </c>
      <c r="B109" s="17" t="s">
        <v>208</v>
      </c>
      <c r="C109" s="8" t="s">
        <v>270</v>
      </c>
      <c r="D109" s="8" t="s">
        <v>281</v>
      </c>
      <c r="E109" s="20" t="n">
        <v>44503</v>
      </c>
      <c r="F109" s="20" t="n">
        <v>45599</v>
      </c>
      <c r="G109" s="17" t="s">
        <v>258</v>
      </c>
      <c r="H109" s="21" t="n">
        <v>320</v>
      </c>
    </row>
    <row r="110" customFormat="false" ht="15" hidden="false" customHeight="true" outlineLevel="0" collapsed="false">
      <c r="A110" s="17" t="s">
        <v>397</v>
      </c>
      <c r="B110" s="17" t="s">
        <v>211</v>
      </c>
      <c r="C110" s="8" t="s">
        <v>266</v>
      </c>
      <c r="D110" s="8" t="s">
        <v>307</v>
      </c>
      <c r="E110" s="20" t="n">
        <v>43531</v>
      </c>
      <c r="F110" s="20" t="n">
        <v>45358</v>
      </c>
      <c r="G110" s="17" t="s">
        <v>304</v>
      </c>
      <c r="H110" s="21" t="n">
        <v>480</v>
      </c>
    </row>
    <row r="111" customFormat="false" ht="15" hidden="false" customHeight="true" outlineLevel="0" collapsed="false">
      <c r="A111" s="17" t="s">
        <v>398</v>
      </c>
      <c r="B111" s="17" t="s">
        <v>211</v>
      </c>
      <c r="C111" s="8" t="s">
        <v>270</v>
      </c>
      <c r="D111" s="8" t="s">
        <v>281</v>
      </c>
      <c r="E111" s="20" t="n">
        <v>43237</v>
      </c>
      <c r="F111" s="20" t="n">
        <v>45063</v>
      </c>
      <c r="G111" s="17" t="s">
        <v>258</v>
      </c>
      <c r="H111" s="21" t="n">
        <v>480</v>
      </c>
    </row>
    <row r="112" customFormat="false" ht="15" hidden="false" customHeight="true" outlineLevel="0" collapsed="false">
      <c r="A112" s="17" t="s">
        <v>399</v>
      </c>
      <c r="B112" s="17" t="s">
        <v>211</v>
      </c>
      <c r="C112" s="8" t="s">
        <v>270</v>
      </c>
      <c r="D112" s="8" t="s">
        <v>271</v>
      </c>
      <c r="E112" s="20" t="n">
        <v>45099</v>
      </c>
      <c r="F112" s="20" t="n">
        <v>45830</v>
      </c>
      <c r="G112" s="17" t="s">
        <v>258</v>
      </c>
      <c r="H112" s="21" t="n">
        <v>7800</v>
      </c>
    </row>
    <row r="113" customFormat="false" ht="15" hidden="false" customHeight="true" outlineLevel="0" collapsed="false">
      <c r="A113" s="17" t="s">
        <v>400</v>
      </c>
      <c r="B113" s="17" t="s">
        <v>211</v>
      </c>
      <c r="C113" s="8" t="s">
        <v>289</v>
      </c>
      <c r="D113" s="8" t="s">
        <v>337</v>
      </c>
      <c r="E113" s="20" t="n">
        <v>43173</v>
      </c>
      <c r="F113" s="20" t="n">
        <v>43904</v>
      </c>
      <c r="G113" s="17" t="s">
        <v>304</v>
      </c>
      <c r="H113" s="21" t="n">
        <v>7800</v>
      </c>
    </row>
    <row r="114" customFormat="false" ht="15" hidden="false" customHeight="true" outlineLevel="0" collapsed="false">
      <c r="A114" s="17" t="s">
        <v>401</v>
      </c>
      <c r="B114" s="17" t="s">
        <v>211</v>
      </c>
      <c r="C114" s="8" t="s">
        <v>283</v>
      </c>
      <c r="D114" s="8" t="s">
        <v>358</v>
      </c>
      <c r="E114" s="20" t="n">
        <v>45051</v>
      </c>
      <c r="F114" s="20" t="n">
        <v>46878</v>
      </c>
      <c r="G114" s="17" t="s">
        <v>258</v>
      </c>
      <c r="H114" s="21" t="n">
        <v>12000</v>
      </c>
    </row>
    <row r="115" customFormat="false" ht="15" hidden="false" customHeight="true" outlineLevel="0" collapsed="false">
      <c r="A115" s="17" t="s">
        <v>402</v>
      </c>
      <c r="B115" s="17" t="s">
        <v>211</v>
      </c>
      <c r="C115" s="8" t="s">
        <v>270</v>
      </c>
      <c r="D115" s="8" t="s">
        <v>271</v>
      </c>
      <c r="E115" s="20" t="n">
        <v>43161</v>
      </c>
      <c r="F115" s="20" t="n">
        <v>44257</v>
      </c>
      <c r="G115" s="17" t="s">
        <v>258</v>
      </c>
      <c r="H115" s="21" t="n">
        <v>3500</v>
      </c>
    </row>
    <row r="116" customFormat="false" ht="15" hidden="false" customHeight="true" outlineLevel="0" collapsed="false">
      <c r="A116" s="17" t="s">
        <v>403</v>
      </c>
      <c r="B116" s="17" t="s">
        <v>213</v>
      </c>
      <c r="C116" s="8" t="s">
        <v>283</v>
      </c>
      <c r="D116" s="8" t="s">
        <v>284</v>
      </c>
      <c r="E116" s="20" t="n">
        <v>44730</v>
      </c>
      <c r="F116" s="20" t="n">
        <v>45826</v>
      </c>
      <c r="G116" s="17" t="s">
        <v>258</v>
      </c>
      <c r="H116" s="21" t="n">
        <v>12000</v>
      </c>
    </row>
    <row r="117" customFormat="false" ht="15" hidden="false" customHeight="true" outlineLevel="0" collapsed="false">
      <c r="A117" s="17" t="s">
        <v>404</v>
      </c>
      <c r="B117" s="17" t="s">
        <v>213</v>
      </c>
      <c r="C117" s="8" t="s">
        <v>309</v>
      </c>
      <c r="D117" s="8" t="s">
        <v>310</v>
      </c>
      <c r="E117" s="20" t="n">
        <v>44519</v>
      </c>
      <c r="F117" s="20" t="n">
        <v>46345</v>
      </c>
      <c r="G117" s="17" t="s">
        <v>258</v>
      </c>
      <c r="H117" s="21" t="n">
        <v>7800</v>
      </c>
    </row>
    <row r="118" customFormat="false" ht="15" hidden="false" customHeight="true" outlineLevel="0" collapsed="false">
      <c r="A118" s="17" t="s">
        <v>405</v>
      </c>
      <c r="B118" s="17" t="s">
        <v>213</v>
      </c>
      <c r="C118" s="8" t="s">
        <v>266</v>
      </c>
      <c r="D118" s="8" t="s">
        <v>295</v>
      </c>
      <c r="E118" s="20" t="n">
        <v>44884</v>
      </c>
      <c r="F118" s="20" t="n">
        <v>46710</v>
      </c>
      <c r="G118" s="17" t="s">
        <v>258</v>
      </c>
      <c r="H118" s="21" t="n">
        <v>5200</v>
      </c>
    </row>
    <row r="119" customFormat="false" ht="15" hidden="false" customHeight="true" outlineLevel="0" collapsed="false">
      <c r="A119" s="17" t="s">
        <v>406</v>
      </c>
      <c r="B119" s="17" t="s">
        <v>213</v>
      </c>
      <c r="C119" s="8" t="s">
        <v>283</v>
      </c>
      <c r="D119" s="8" t="s">
        <v>284</v>
      </c>
      <c r="E119" s="20" t="n">
        <v>43901</v>
      </c>
      <c r="F119" s="20" t="n">
        <v>44996</v>
      </c>
      <c r="G119" s="17" t="s">
        <v>304</v>
      </c>
      <c r="H119" s="21" t="n">
        <v>1200</v>
      </c>
    </row>
    <row r="120" customFormat="false" ht="15" hidden="false" customHeight="true" outlineLevel="0" collapsed="false">
      <c r="A120" s="17" t="s">
        <v>407</v>
      </c>
      <c r="B120" s="17" t="s">
        <v>213</v>
      </c>
      <c r="C120" s="8" t="s">
        <v>309</v>
      </c>
      <c r="D120" s="8" t="s">
        <v>313</v>
      </c>
      <c r="E120" s="20" t="n">
        <v>43963</v>
      </c>
      <c r="F120" s="20" t="n">
        <v>45789</v>
      </c>
      <c r="G120" s="17" t="s">
        <v>258</v>
      </c>
      <c r="H120" s="21" t="n">
        <v>480</v>
      </c>
    </row>
    <row r="121" customFormat="false" ht="15" hidden="false" customHeight="true" outlineLevel="0" collapsed="false">
      <c r="A121" s="17" t="s">
        <v>408</v>
      </c>
      <c r="B121" s="17" t="s">
        <v>213</v>
      </c>
      <c r="C121" s="8" t="s">
        <v>266</v>
      </c>
      <c r="D121" s="8" t="s">
        <v>295</v>
      </c>
      <c r="E121" s="20" t="n">
        <v>45022</v>
      </c>
      <c r="F121" s="20" t="n">
        <v>46118</v>
      </c>
      <c r="G121" s="17" t="s">
        <v>258</v>
      </c>
      <c r="H121" s="21" t="n">
        <v>1800</v>
      </c>
    </row>
    <row r="122" customFormat="false" ht="15" hidden="false" customHeight="true" outlineLevel="0" collapsed="false">
      <c r="A122" s="17" t="s">
        <v>409</v>
      </c>
      <c r="B122" s="17" t="s">
        <v>216</v>
      </c>
      <c r="C122" s="8" t="s">
        <v>289</v>
      </c>
      <c r="D122" s="8" t="s">
        <v>337</v>
      </c>
      <c r="E122" s="20" t="n">
        <v>45312</v>
      </c>
      <c r="F122" s="20" t="n">
        <v>47139</v>
      </c>
      <c r="G122" s="17" t="s">
        <v>258</v>
      </c>
      <c r="H122" s="21" t="n">
        <v>1200</v>
      </c>
    </row>
    <row r="123" customFormat="false" ht="15" hidden="false" customHeight="true" outlineLevel="0" collapsed="false">
      <c r="A123" s="17" t="s">
        <v>410</v>
      </c>
      <c r="B123" s="17" t="s">
        <v>216</v>
      </c>
      <c r="C123" s="8" t="s">
        <v>266</v>
      </c>
      <c r="D123" s="8" t="s">
        <v>295</v>
      </c>
      <c r="E123" s="20" t="n">
        <v>45120</v>
      </c>
      <c r="F123" s="20" t="n">
        <v>45851</v>
      </c>
      <c r="G123" s="17" t="s">
        <v>258</v>
      </c>
      <c r="H123" s="21" t="n">
        <v>3500</v>
      </c>
    </row>
    <row r="124" customFormat="false" ht="15" hidden="false" customHeight="true" outlineLevel="0" collapsed="false">
      <c r="A124" s="17" t="s">
        <v>411</v>
      </c>
      <c r="B124" s="17" t="s">
        <v>216</v>
      </c>
      <c r="C124" s="8" t="s">
        <v>256</v>
      </c>
      <c r="D124" s="8" t="s">
        <v>274</v>
      </c>
      <c r="E124" s="20" t="n">
        <v>43277</v>
      </c>
      <c r="F124" s="20" t="n">
        <v>44008</v>
      </c>
      <c r="G124" s="17" t="s">
        <v>258</v>
      </c>
      <c r="H124" s="21" t="n">
        <v>320</v>
      </c>
    </row>
    <row r="125" customFormat="false" ht="15" hidden="false" customHeight="true" outlineLevel="0" collapsed="false">
      <c r="A125" s="17" t="s">
        <v>412</v>
      </c>
      <c r="B125" s="17" t="s">
        <v>216</v>
      </c>
      <c r="C125" s="8" t="s">
        <v>260</v>
      </c>
      <c r="D125" s="8" t="s">
        <v>332</v>
      </c>
      <c r="E125" s="20" t="n">
        <v>44269</v>
      </c>
      <c r="F125" s="20" t="n">
        <v>46095</v>
      </c>
      <c r="G125" s="17" t="s">
        <v>258</v>
      </c>
      <c r="H125" s="21" t="n">
        <v>7800</v>
      </c>
    </row>
    <row r="126" customFormat="false" ht="15" hidden="false" customHeight="true" outlineLevel="0" collapsed="false">
      <c r="A126" s="17" t="s">
        <v>413</v>
      </c>
      <c r="B126" s="17" t="s">
        <v>219</v>
      </c>
      <c r="C126" s="8" t="s">
        <v>283</v>
      </c>
      <c r="D126" s="8" t="s">
        <v>358</v>
      </c>
      <c r="E126" s="20" t="n">
        <v>44734</v>
      </c>
      <c r="F126" s="20" t="n">
        <v>45465</v>
      </c>
      <c r="G126" s="17" t="s">
        <v>258</v>
      </c>
      <c r="H126" s="21" t="n">
        <v>2500</v>
      </c>
    </row>
    <row r="127" customFormat="false" ht="15" hidden="false" customHeight="true" outlineLevel="0" collapsed="false">
      <c r="A127" s="17" t="s">
        <v>414</v>
      </c>
      <c r="B127" s="17" t="s">
        <v>219</v>
      </c>
      <c r="C127" s="8" t="s">
        <v>270</v>
      </c>
      <c r="D127" s="8" t="s">
        <v>278</v>
      </c>
      <c r="E127" s="20" t="n">
        <v>44667</v>
      </c>
      <c r="F127" s="20" t="n">
        <v>45763</v>
      </c>
      <c r="G127" s="17" t="s">
        <v>304</v>
      </c>
      <c r="H127" s="21" t="n">
        <v>3500</v>
      </c>
    </row>
    <row r="128" customFormat="false" ht="15" hidden="false" customHeight="true" outlineLevel="0" collapsed="false">
      <c r="A128" s="17" t="s">
        <v>415</v>
      </c>
      <c r="B128" s="17" t="s">
        <v>219</v>
      </c>
      <c r="C128" s="8" t="s">
        <v>270</v>
      </c>
      <c r="D128" s="8" t="s">
        <v>278</v>
      </c>
      <c r="E128" s="20" t="n">
        <v>43511</v>
      </c>
      <c r="F128" s="20" t="n">
        <v>44607</v>
      </c>
      <c r="G128" s="17" t="s">
        <v>258</v>
      </c>
      <c r="H128" s="21" t="n">
        <v>320</v>
      </c>
    </row>
    <row r="129" customFormat="false" ht="15" hidden="false" customHeight="true" outlineLevel="0" collapsed="false">
      <c r="A129" s="17" t="s">
        <v>416</v>
      </c>
      <c r="B129" s="17" t="s">
        <v>219</v>
      </c>
      <c r="C129" s="8" t="s">
        <v>270</v>
      </c>
      <c r="D129" s="8" t="s">
        <v>278</v>
      </c>
      <c r="E129" s="20" t="n">
        <v>43164</v>
      </c>
      <c r="F129" s="20" t="n">
        <v>44260</v>
      </c>
      <c r="G129" s="17" t="s">
        <v>258</v>
      </c>
      <c r="H129" s="21" t="n">
        <v>2500</v>
      </c>
    </row>
    <row r="130" customFormat="false" ht="15" hidden="false" customHeight="true" outlineLevel="0" collapsed="false">
      <c r="A130" s="17" t="s">
        <v>417</v>
      </c>
      <c r="B130" s="17" t="s">
        <v>219</v>
      </c>
      <c r="C130" s="8" t="s">
        <v>260</v>
      </c>
      <c r="D130" s="8" t="s">
        <v>298</v>
      </c>
      <c r="E130" s="20" t="n">
        <v>44510</v>
      </c>
      <c r="F130" s="20" t="n">
        <v>45606</v>
      </c>
      <c r="G130" s="17" t="s">
        <v>304</v>
      </c>
      <c r="H130" s="21" t="n">
        <v>480</v>
      </c>
    </row>
    <row r="131" customFormat="false" ht="15" hidden="false" customHeight="true" outlineLevel="0" collapsed="false">
      <c r="A131" s="17" t="s">
        <v>418</v>
      </c>
      <c r="B131" s="17" t="s">
        <v>223</v>
      </c>
      <c r="C131" s="8" t="s">
        <v>260</v>
      </c>
      <c r="D131" s="8" t="s">
        <v>261</v>
      </c>
      <c r="E131" s="20" t="n">
        <v>45345</v>
      </c>
      <c r="F131" s="20" t="n">
        <v>46441</v>
      </c>
      <c r="G131" s="17" t="s">
        <v>258</v>
      </c>
      <c r="H131" s="21" t="n">
        <v>2500</v>
      </c>
    </row>
    <row r="132" customFormat="false" ht="15" hidden="false" customHeight="true" outlineLevel="0" collapsed="false">
      <c r="A132" s="17" t="s">
        <v>419</v>
      </c>
      <c r="B132" s="17" t="s">
        <v>223</v>
      </c>
      <c r="C132" s="8" t="s">
        <v>266</v>
      </c>
      <c r="D132" s="8" t="s">
        <v>307</v>
      </c>
      <c r="E132" s="20" t="n">
        <v>45571</v>
      </c>
      <c r="F132" s="20" t="n">
        <v>46666</v>
      </c>
      <c r="G132" s="17" t="s">
        <v>258</v>
      </c>
      <c r="H132" s="21" t="n">
        <v>2500</v>
      </c>
    </row>
    <row r="133" customFormat="false" ht="15" hidden="false" customHeight="true" outlineLevel="0" collapsed="false">
      <c r="A133" s="17" t="s">
        <v>420</v>
      </c>
      <c r="B133" s="17" t="s">
        <v>223</v>
      </c>
      <c r="C133" s="8" t="s">
        <v>289</v>
      </c>
      <c r="D133" s="8" t="s">
        <v>317</v>
      </c>
      <c r="E133" s="20" t="n">
        <v>44645</v>
      </c>
      <c r="F133" s="20" t="n">
        <v>45741</v>
      </c>
      <c r="G133" s="17" t="s">
        <v>258</v>
      </c>
      <c r="H133" s="21" t="n">
        <v>7800</v>
      </c>
    </row>
    <row r="134" customFormat="false" ht="15" hidden="false" customHeight="true" outlineLevel="0" collapsed="false">
      <c r="A134" s="17" t="s">
        <v>421</v>
      </c>
      <c r="B134" s="17" t="s">
        <v>223</v>
      </c>
      <c r="C134" s="8" t="s">
        <v>283</v>
      </c>
      <c r="D134" s="8" t="s">
        <v>358</v>
      </c>
      <c r="E134" s="20" t="n">
        <v>44395</v>
      </c>
      <c r="F134" s="20" t="n">
        <v>46221</v>
      </c>
      <c r="G134" s="17" t="s">
        <v>258</v>
      </c>
      <c r="H134" s="21" t="n">
        <v>320</v>
      </c>
    </row>
    <row r="135" customFormat="false" ht="15" hidden="false" customHeight="true" outlineLevel="0" collapsed="false">
      <c r="A135" s="17" t="s">
        <v>422</v>
      </c>
      <c r="B135" s="17" t="s">
        <v>223</v>
      </c>
      <c r="C135" s="8" t="s">
        <v>260</v>
      </c>
      <c r="D135" s="8" t="s">
        <v>298</v>
      </c>
      <c r="E135" s="20" t="n">
        <v>44554</v>
      </c>
      <c r="F135" s="20" t="n">
        <v>45650</v>
      </c>
      <c r="G135" s="17" t="s">
        <v>258</v>
      </c>
      <c r="H135" s="21" t="n">
        <v>2500</v>
      </c>
    </row>
    <row r="136" customFormat="false" ht="15" hidden="false" customHeight="true" outlineLevel="0" collapsed="false">
      <c r="A136" s="17" t="s">
        <v>423</v>
      </c>
      <c r="B136" s="17" t="s">
        <v>223</v>
      </c>
      <c r="C136" s="8" t="s">
        <v>283</v>
      </c>
      <c r="D136" s="8" t="s">
        <v>284</v>
      </c>
      <c r="E136" s="20" t="n">
        <v>44097</v>
      </c>
      <c r="F136" s="20" t="n">
        <v>45923</v>
      </c>
      <c r="G136" s="17" t="s">
        <v>304</v>
      </c>
      <c r="H136" s="21" t="n">
        <v>5200</v>
      </c>
    </row>
    <row r="137" customFormat="false" ht="15" hidden="false" customHeight="true" outlineLevel="0" collapsed="false">
      <c r="A137" s="17" t="s">
        <v>424</v>
      </c>
      <c r="B137" s="17" t="s">
        <v>224</v>
      </c>
      <c r="C137" s="8" t="s">
        <v>263</v>
      </c>
      <c r="D137" s="8" t="s">
        <v>302</v>
      </c>
      <c r="E137" s="20" t="n">
        <v>44546</v>
      </c>
      <c r="F137" s="20" t="n">
        <v>45642</v>
      </c>
      <c r="G137" s="17" t="s">
        <v>258</v>
      </c>
      <c r="H137" s="21" t="n">
        <v>320</v>
      </c>
    </row>
    <row r="138" customFormat="false" ht="15" hidden="false" customHeight="true" outlineLevel="0" collapsed="false">
      <c r="A138" s="17" t="s">
        <v>425</v>
      </c>
      <c r="B138" s="17" t="s">
        <v>224</v>
      </c>
      <c r="C138" s="8" t="s">
        <v>260</v>
      </c>
      <c r="D138" s="8" t="s">
        <v>298</v>
      </c>
      <c r="E138" s="20" t="n">
        <v>44857</v>
      </c>
      <c r="F138" s="20" t="n">
        <v>45588</v>
      </c>
      <c r="G138" s="17" t="s">
        <v>304</v>
      </c>
      <c r="H138" s="21" t="n">
        <v>7800</v>
      </c>
    </row>
    <row r="139" customFormat="false" ht="15" hidden="false" customHeight="true" outlineLevel="0" collapsed="false">
      <c r="A139" s="17" t="s">
        <v>426</v>
      </c>
      <c r="B139" s="17" t="s">
        <v>224</v>
      </c>
      <c r="C139" s="8" t="s">
        <v>263</v>
      </c>
      <c r="D139" s="8" t="s">
        <v>264</v>
      </c>
      <c r="E139" s="20" t="n">
        <v>44528</v>
      </c>
      <c r="F139" s="20" t="n">
        <v>46354</v>
      </c>
      <c r="G139" s="17" t="s">
        <v>258</v>
      </c>
      <c r="H139" s="21" t="n">
        <v>320</v>
      </c>
    </row>
    <row r="140" customFormat="false" ht="15" hidden="false" customHeight="true" outlineLevel="0" collapsed="false">
      <c r="A140" s="17" t="s">
        <v>427</v>
      </c>
      <c r="B140" s="17" t="s">
        <v>224</v>
      </c>
      <c r="C140" s="8" t="s">
        <v>289</v>
      </c>
      <c r="D140" s="8" t="s">
        <v>317</v>
      </c>
      <c r="E140" s="20" t="n">
        <v>45448</v>
      </c>
      <c r="F140" s="20" t="n">
        <v>46543</v>
      </c>
      <c r="G140" s="17" t="s">
        <v>258</v>
      </c>
      <c r="H140" s="21" t="n">
        <v>5200</v>
      </c>
    </row>
    <row r="141" customFormat="false" ht="15" hidden="false" customHeight="true" outlineLevel="0" collapsed="false">
      <c r="A141" s="17" t="s">
        <v>428</v>
      </c>
      <c r="B141" s="17" t="s">
        <v>224</v>
      </c>
      <c r="C141" s="8" t="s">
        <v>266</v>
      </c>
      <c r="D141" s="8" t="s">
        <v>295</v>
      </c>
      <c r="E141" s="20" t="n">
        <v>45313</v>
      </c>
      <c r="F141" s="20" t="n">
        <v>46044</v>
      </c>
      <c r="G141" s="17" t="s">
        <v>258</v>
      </c>
      <c r="H141" s="21" t="n">
        <v>480</v>
      </c>
    </row>
    <row r="142" customFormat="false" ht="15" hidden="false" customHeight="true" outlineLevel="0" collapsed="false">
      <c r="A142" s="17" t="s">
        <v>429</v>
      </c>
      <c r="B142" s="17" t="s">
        <v>224</v>
      </c>
      <c r="C142" s="8" t="s">
        <v>266</v>
      </c>
      <c r="D142" s="8" t="s">
        <v>267</v>
      </c>
      <c r="E142" s="20" t="n">
        <v>44442</v>
      </c>
      <c r="F142" s="20" t="n">
        <v>46268</v>
      </c>
      <c r="G142" s="17" t="s">
        <v>258</v>
      </c>
      <c r="H142" s="21" t="n">
        <v>750</v>
      </c>
    </row>
    <row r="143" customFormat="false" ht="15" hidden="false" customHeight="true" outlineLevel="0" collapsed="false">
      <c r="A143" s="17" t="s">
        <v>430</v>
      </c>
      <c r="B143" s="17" t="s">
        <v>224</v>
      </c>
      <c r="C143" s="8" t="s">
        <v>266</v>
      </c>
      <c r="D143" s="8" t="s">
        <v>267</v>
      </c>
      <c r="E143" s="20" t="n">
        <v>45399</v>
      </c>
      <c r="F143" s="20" t="n">
        <v>46129</v>
      </c>
      <c r="G143" s="17" t="s">
        <v>258</v>
      </c>
      <c r="H143" s="21" t="n">
        <v>320</v>
      </c>
    </row>
    <row r="144" customFormat="false" ht="15" hidden="false" customHeight="true" outlineLevel="0" collapsed="false">
      <c r="A144" s="17" t="s">
        <v>431</v>
      </c>
      <c r="B144" s="17" t="s">
        <v>224</v>
      </c>
      <c r="C144" s="8" t="s">
        <v>309</v>
      </c>
      <c r="D144" s="8" t="s">
        <v>322</v>
      </c>
      <c r="E144" s="20" t="n">
        <v>43970</v>
      </c>
      <c r="F144" s="20" t="n">
        <v>45065</v>
      </c>
      <c r="G144" s="17" t="s">
        <v>258</v>
      </c>
      <c r="H144" s="21" t="n">
        <v>2500</v>
      </c>
    </row>
    <row r="145" customFormat="false" ht="15" hidden="false" customHeight="true" outlineLevel="0" collapsed="false">
      <c r="A145" s="17" t="s">
        <v>432</v>
      </c>
      <c r="B145" s="17" t="s">
        <v>226</v>
      </c>
      <c r="C145" s="8" t="s">
        <v>270</v>
      </c>
      <c r="D145" s="8" t="s">
        <v>271</v>
      </c>
      <c r="E145" s="20" t="n">
        <v>43955</v>
      </c>
      <c r="F145" s="20" t="n">
        <v>44685</v>
      </c>
      <c r="G145" s="17" t="s">
        <v>304</v>
      </c>
      <c r="H145" s="21" t="n">
        <v>2500</v>
      </c>
    </row>
    <row r="146" customFormat="false" ht="15" hidden="false" customHeight="true" outlineLevel="0" collapsed="false">
      <c r="A146" s="17" t="s">
        <v>433</v>
      </c>
      <c r="B146" s="17" t="s">
        <v>226</v>
      </c>
      <c r="C146" s="8" t="s">
        <v>289</v>
      </c>
      <c r="D146" s="8" t="s">
        <v>290</v>
      </c>
      <c r="E146" s="20" t="n">
        <v>43213</v>
      </c>
      <c r="F146" s="20" t="n">
        <v>43944</v>
      </c>
      <c r="G146" s="17" t="s">
        <v>258</v>
      </c>
      <c r="H146" s="21" t="n">
        <v>3500</v>
      </c>
    </row>
    <row r="147" customFormat="false" ht="15" hidden="false" customHeight="true" outlineLevel="0" collapsed="false">
      <c r="A147" s="17" t="s">
        <v>434</v>
      </c>
      <c r="B147" s="17" t="s">
        <v>226</v>
      </c>
      <c r="C147" s="8" t="s">
        <v>283</v>
      </c>
      <c r="D147" s="8" t="s">
        <v>284</v>
      </c>
      <c r="E147" s="20" t="n">
        <v>45619</v>
      </c>
      <c r="F147" s="20" t="n">
        <v>46349</v>
      </c>
      <c r="G147" s="17" t="s">
        <v>304</v>
      </c>
      <c r="H147" s="21" t="n">
        <v>5200</v>
      </c>
    </row>
    <row r="148" customFormat="false" ht="15" hidden="false" customHeight="true" outlineLevel="0" collapsed="false">
      <c r="A148" s="17" t="s">
        <v>435</v>
      </c>
      <c r="B148" s="17" t="s">
        <v>226</v>
      </c>
      <c r="C148" s="8" t="s">
        <v>260</v>
      </c>
      <c r="D148" s="8" t="s">
        <v>261</v>
      </c>
      <c r="E148" s="20" t="n">
        <v>45496</v>
      </c>
      <c r="F148" s="20" t="n">
        <v>46226</v>
      </c>
      <c r="G148" s="17" t="s">
        <v>258</v>
      </c>
      <c r="H148" s="21" t="n">
        <v>320</v>
      </c>
    </row>
    <row r="149" customFormat="false" ht="15" hidden="false" customHeight="true" outlineLevel="0" collapsed="false">
      <c r="A149" s="17" t="s">
        <v>436</v>
      </c>
      <c r="B149" s="17" t="s">
        <v>226</v>
      </c>
      <c r="C149" s="8" t="s">
        <v>263</v>
      </c>
      <c r="D149" s="8" t="s">
        <v>293</v>
      </c>
      <c r="E149" s="20" t="n">
        <v>44467</v>
      </c>
      <c r="F149" s="20" t="n">
        <v>46293</v>
      </c>
      <c r="G149" s="17" t="s">
        <v>258</v>
      </c>
      <c r="H149" s="21" t="n">
        <v>5200</v>
      </c>
    </row>
    <row r="150" customFormat="false" ht="15" hidden="false" customHeight="true" outlineLevel="0" collapsed="false">
      <c r="A150" s="17" t="s">
        <v>437</v>
      </c>
      <c r="B150" s="17" t="s">
        <v>226</v>
      </c>
      <c r="C150" s="8" t="s">
        <v>283</v>
      </c>
      <c r="D150" s="8" t="s">
        <v>358</v>
      </c>
      <c r="E150" s="20" t="n">
        <v>43778</v>
      </c>
      <c r="F150" s="20" t="n">
        <v>44874</v>
      </c>
      <c r="G150" s="17" t="s">
        <v>258</v>
      </c>
      <c r="H150" s="21" t="n">
        <v>1800</v>
      </c>
    </row>
    <row r="151" customFormat="false" ht="15" hidden="false" customHeight="true" outlineLevel="0" collapsed="false">
      <c r="A151" s="17" t="s">
        <v>438</v>
      </c>
      <c r="B151" s="17" t="s">
        <v>226</v>
      </c>
      <c r="C151" s="8" t="s">
        <v>260</v>
      </c>
      <c r="D151" s="8" t="s">
        <v>261</v>
      </c>
      <c r="E151" s="20" t="n">
        <v>44735</v>
      </c>
      <c r="F151" s="20" t="n">
        <v>45831</v>
      </c>
      <c r="G151" s="17" t="s">
        <v>258</v>
      </c>
      <c r="H151" s="21" t="n">
        <v>480</v>
      </c>
    </row>
    <row r="152" customFormat="false" ht="15" hidden="false" customHeight="true" outlineLevel="0" collapsed="false">
      <c r="A152" s="17" t="s">
        <v>439</v>
      </c>
      <c r="B152" s="17" t="s">
        <v>226</v>
      </c>
      <c r="C152" s="8" t="s">
        <v>263</v>
      </c>
      <c r="D152" s="8" t="s">
        <v>293</v>
      </c>
      <c r="E152" s="20" t="n">
        <v>45388</v>
      </c>
      <c r="F152" s="20" t="n">
        <v>47214</v>
      </c>
      <c r="G152" s="17" t="s">
        <v>258</v>
      </c>
      <c r="H152" s="21" t="n">
        <v>7800</v>
      </c>
    </row>
    <row r="153" customFormat="false" ht="15" hidden="false" customHeight="true" outlineLevel="0" collapsed="false">
      <c r="A153" s="17" t="s">
        <v>440</v>
      </c>
      <c r="B153" s="17" t="s">
        <v>226</v>
      </c>
      <c r="C153" s="8" t="s">
        <v>263</v>
      </c>
      <c r="D153" s="8" t="s">
        <v>293</v>
      </c>
      <c r="E153" s="20" t="n">
        <v>43764</v>
      </c>
      <c r="F153" s="20" t="n">
        <v>44495</v>
      </c>
      <c r="G153" s="17" t="s">
        <v>258</v>
      </c>
      <c r="H153" s="21" t="n">
        <v>480</v>
      </c>
    </row>
    <row r="154" customFormat="false" ht="15" hidden="false" customHeight="true" outlineLevel="0" collapsed="false">
      <c r="A154" s="17" t="s">
        <v>441</v>
      </c>
      <c r="B154" s="17" t="s">
        <v>231</v>
      </c>
      <c r="C154" s="8" t="s">
        <v>270</v>
      </c>
      <c r="D154" s="8" t="s">
        <v>278</v>
      </c>
      <c r="E154" s="20" t="n">
        <v>43148</v>
      </c>
      <c r="F154" s="20" t="n">
        <v>44244</v>
      </c>
      <c r="G154" s="17" t="s">
        <v>258</v>
      </c>
      <c r="H154" s="21" t="n">
        <v>7800</v>
      </c>
    </row>
    <row r="155" customFormat="false" ht="15" hidden="false" customHeight="true" outlineLevel="0" collapsed="false">
      <c r="A155" s="17" t="s">
        <v>442</v>
      </c>
      <c r="B155" s="17" t="s">
        <v>231</v>
      </c>
      <c r="C155" s="8" t="s">
        <v>289</v>
      </c>
      <c r="D155" s="8" t="s">
        <v>315</v>
      </c>
      <c r="E155" s="20" t="n">
        <v>43946</v>
      </c>
      <c r="F155" s="20" t="n">
        <v>44676</v>
      </c>
      <c r="G155" s="17" t="s">
        <v>258</v>
      </c>
      <c r="H155" s="21" t="n">
        <v>1800</v>
      </c>
    </row>
    <row r="156" customFormat="false" ht="15" hidden="false" customHeight="true" outlineLevel="0" collapsed="false">
      <c r="A156" s="17" t="s">
        <v>443</v>
      </c>
      <c r="B156" s="17" t="s">
        <v>231</v>
      </c>
      <c r="C156" s="8" t="s">
        <v>260</v>
      </c>
      <c r="D156" s="8" t="s">
        <v>298</v>
      </c>
      <c r="E156" s="20" t="n">
        <v>44682</v>
      </c>
      <c r="F156" s="20" t="n">
        <v>45413</v>
      </c>
      <c r="G156" s="17" t="s">
        <v>258</v>
      </c>
      <c r="H156" s="21" t="n">
        <v>12000</v>
      </c>
    </row>
    <row r="157" customFormat="false" ht="26.25" hidden="false" customHeight="true" outlineLevel="0" collapsed="false">
      <c r="A157" s="17" t="s">
        <v>444</v>
      </c>
      <c r="B157" s="17" t="s">
        <v>231</v>
      </c>
      <c r="C157" s="8" t="s">
        <v>263</v>
      </c>
      <c r="D157" s="8" t="s">
        <v>293</v>
      </c>
      <c r="E157" s="20" t="n">
        <v>44493</v>
      </c>
      <c r="F157" s="20" t="n">
        <v>45589</v>
      </c>
      <c r="G157" s="17" t="s">
        <v>268</v>
      </c>
      <c r="H157" s="21" t="n">
        <v>1200</v>
      </c>
    </row>
    <row r="158" customFormat="false" ht="15" hidden="false" customHeight="true" outlineLevel="0" collapsed="false">
      <c r="A158" s="17" t="s">
        <v>445</v>
      </c>
      <c r="B158" s="17" t="s">
        <v>231</v>
      </c>
      <c r="C158" s="8" t="s">
        <v>309</v>
      </c>
      <c r="D158" s="8" t="s">
        <v>310</v>
      </c>
      <c r="E158" s="20" t="n">
        <v>43535</v>
      </c>
      <c r="F158" s="20" t="n">
        <v>45362</v>
      </c>
      <c r="G158" s="17" t="s">
        <v>258</v>
      </c>
      <c r="H158" s="21" t="n">
        <v>1200</v>
      </c>
    </row>
    <row r="159" customFormat="false" ht="15" hidden="false" customHeight="true" outlineLevel="0" collapsed="false">
      <c r="A159" s="17" t="s">
        <v>446</v>
      </c>
      <c r="B159" s="17" t="s">
        <v>231</v>
      </c>
      <c r="C159" s="8" t="s">
        <v>266</v>
      </c>
      <c r="D159" s="8" t="s">
        <v>307</v>
      </c>
      <c r="E159" s="20" t="n">
        <v>44790</v>
      </c>
      <c r="F159" s="20" t="n">
        <v>45886</v>
      </c>
      <c r="G159" s="17" t="s">
        <v>258</v>
      </c>
      <c r="H159" s="21" t="n">
        <v>750</v>
      </c>
    </row>
    <row r="160" customFormat="false" ht="15" hidden="false" customHeight="true" outlineLevel="0" collapsed="false">
      <c r="A160" s="17" t="s">
        <v>447</v>
      </c>
      <c r="B160" s="17" t="s">
        <v>231</v>
      </c>
      <c r="C160" s="8" t="s">
        <v>283</v>
      </c>
      <c r="D160" s="8" t="s">
        <v>358</v>
      </c>
      <c r="E160" s="20" t="n">
        <v>45641</v>
      </c>
      <c r="F160" s="20" t="n">
        <v>46736</v>
      </c>
      <c r="G160" s="17" t="s">
        <v>258</v>
      </c>
      <c r="H160" s="21" t="n">
        <v>480</v>
      </c>
    </row>
    <row r="161" customFormat="false" ht="15" hidden="false" customHeight="true" outlineLevel="0" collapsed="false">
      <c r="A161" s="17" t="s">
        <v>448</v>
      </c>
      <c r="B161" s="17" t="s">
        <v>231</v>
      </c>
      <c r="C161" s="8" t="s">
        <v>309</v>
      </c>
      <c r="D161" s="8" t="s">
        <v>322</v>
      </c>
      <c r="E161" s="20" t="n">
        <v>43956</v>
      </c>
      <c r="F161" s="20" t="n">
        <v>44686</v>
      </c>
      <c r="G161" s="17" t="s">
        <v>258</v>
      </c>
      <c r="H161" s="21" t="n">
        <v>1800</v>
      </c>
    </row>
    <row r="162" customFormat="false" ht="26.25" hidden="false" customHeight="true" outlineLevel="0" collapsed="false">
      <c r="A162" s="17" t="s">
        <v>449</v>
      </c>
      <c r="B162" s="17" t="s">
        <v>234</v>
      </c>
      <c r="C162" s="8" t="s">
        <v>309</v>
      </c>
      <c r="D162" s="8" t="s">
        <v>313</v>
      </c>
      <c r="E162" s="20" t="n">
        <v>44881</v>
      </c>
      <c r="F162" s="20" t="n">
        <v>46707</v>
      </c>
      <c r="G162" s="17" t="s">
        <v>268</v>
      </c>
      <c r="H162" s="21" t="n">
        <v>480</v>
      </c>
    </row>
    <row r="163" customFormat="false" ht="15" hidden="false" customHeight="true" outlineLevel="0" collapsed="false">
      <c r="A163" s="17" t="s">
        <v>450</v>
      </c>
      <c r="B163" s="17" t="s">
        <v>234</v>
      </c>
      <c r="C163" s="8" t="s">
        <v>256</v>
      </c>
      <c r="D163" s="8" t="s">
        <v>300</v>
      </c>
      <c r="E163" s="20" t="n">
        <v>45173</v>
      </c>
      <c r="F163" s="20" t="n">
        <v>47000</v>
      </c>
      <c r="G163" s="17" t="s">
        <v>258</v>
      </c>
      <c r="H163" s="21" t="n">
        <v>320</v>
      </c>
    </row>
    <row r="164" customFormat="false" ht="15" hidden="false" customHeight="true" outlineLevel="0" collapsed="false">
      <c r="A164" s="17" t="s">
        <v>451</v>
      </c>
      <c r="B164" s="17" t="s">
        <v>234</v>
      </c>
      <c r="C164" s="8" t="s">
        <v>263</v>
      </c>
      <c r="D164" s="8" t="s">
        <v>302</v>
      </c>
      <c r="E164" s="20" t="n">
        <v>44642</v>
      </c>
      <c r="F164" s="20" t="n">
        <v>45738</v>
      </c>
      <c r="G164" s="17" t="s">
        <v>258</v>
      </c>
      <c r="H164" s="21" t="n">
        <v>320</v>
      </c>
    </row>
    <row r="165" customFormat="false" ht="15" hidden="false" customHeight="true" outlineLevel="0" collapsed="false">
      <c r="A165" s="17" t="s">
        <v>452</v>
      </c>
      <c r="B165" s="17" t="s">
        <v>234</v>
      </c>
      <c r="C165" s="8" t="s">
        <v>283</v>
      </c>
      <c r="D165" s="8" t="s">
        <v>284</v>
      </c>
      <c r="E165" s="20" t="n">
        <v>45029</v>
      </c>
      <c r="F165" s="20" t="n">
        <v>46856</v>
      </c>
      <c r="G165" s="17" t="s">
        <v>258</v>
      </c>
      <c r="H165" s="21" t="n">
        <v>5200</v>
      </c>
    </row>
    <row r="166" customFormat="false" ht="15" hidden="false" customHeight="true" outlineLevel="0" collapsed="false">
      <c r="A166" s="17" t="s">
        <v>453</v>
      </c>
      <c r="B166" s="17" t="s">
        <v>234</v>
      </c>
      <c r="C166" s="8" t="s">
        <v>309</v>
      </c>
      <c r="D166" s="8" t="s">
        <v>322</v>
      </c>
      <c r="E166" s="20" t="n">
        <v>44327</v>
      </c>
      <c r="F166" s="20" t="n">
        <v>45423</v>
      </c>
      <c r="G166" s="17" t="s">
        <v>258</v>
      </c>
      <c r="H166" s="21" t="n">
        <v>320</v>
      </c>
    </row>
    <row r="167" customFormat="false" ht="15" hidden="false" customHeight="true" outlineLevel="0" collapsed="false">
      <c r="A167" s="17" t="s">
        <v>454</v>
      </c>
      <c r="B167" s="17" t="s">
        <v>234</v>
      </c>
      <c r="C167" s="8" t="s">
        <v>289</v>
      </c>
      <c r="D167" s="8" t="s">
        <v>317</v>
      </c>
      <c r="E167" s="20" t="n">
        <v>44943</v>
      </c>
      <c r="F167" s="20" t="n">
        <v>46039</v>
      </c>
      <c r="G167" s="17" t="s">
        <v>258</v>
      </c>
      <c r="H167" s="21" t="n">
        <v>320</v>
      </c>
    </row>
    <row r="168" customFormat="false" ht="15" hidden="false" customHeight="true" outlineLevel="0" collapsed="false">
      <c r="A168" s="17" t="s">
        <v>455</v>
      </c>
      <c r="B168" s="17" t="s">
        <v>234</v>
      </c>
      <c r="C168" s="8" t="s">
        <v>263</v>
      </c>
      <c r="D168" s="8" t="s">
        <v>302</v>
      </c>
      <c r="E168" s="20" t="n">
        <v>43458</v>
      </c>
      <c r="F168" s="20" t="n">
        <v>44554</v>
      </c>
      <c r="G168" s="17" t="s">
        <v>258</v>
      </c>
      <c r="H168" s="21" t="n">
        <v>2500</v>
      </c>
    </row>
    <row r="169" customFormat="false" ht="15" hidden="false" customHeight="true" outlineLevel="0" collapsed="false">
      <c r="A169" s="17" t="s">
        <v>456</v>
      </c>
      <c r="B169" s="17" t="s">
        <v>234</v>
      </c>
      <c r="C169" s="8" t="s">
        <v>266</v>
      </c>
      <c r="D169" s="8" t="s">
        <v>295</v>
      </c>
      <c r="E169" s="20" t="n">
        <v>44360</v>
      </c>
      <c r="F169" s="20" t="n">
        <v>46186</v>
      </c>
      <c r="G169" s="17" t="s">
        <v>258</v>
      </c>
      <c r="H169" s="21" t="n">
        <v>750</v>
      </c>
    </row>
    <row r="170" customFormat="false" ht="15" hidden="false" customHeight="true" outlineLevel="0" collapsed="false">
      <c r="A170" s="17" t="s">
        <v>457</v>
      </c>
      <c r="B170" s="17" t="s">
        <v>234</v>
      </c>
      <c r="C170" s="8" t="s">
        <v>263</v>
      </c>
      <c r="D170" s="8" t="s">
        <v>302</v>
      </c>
      <c r="E170" s="20" t="n">
        <v>44341</v>
      </c>
      <c r="F170" s="20" t="n">
        <v>45071</v>
      </c>
      <c r="G170" s="17" t="s">
        <v>258</v>
      </c>
      <c r="H170" s="21" t="n">
        <v>5200</v>
      </c>
    </row>
    <row r="171" customFormat="false" ht="15" hidden="false" customHeight="true" outlineLevel="0" collapsed="false">
      <c r="A171" s="17" t="s">
        <v>458</v>
      </c>
      <c r="B171" s="17" t="s">
        <v>237</v>
      </c>
      <c r="C171" s="8" t="s">
        <v>283</v>
      </c>
      <c r="D171" s="8" t="s">
        <v>358</v>
      </c>
      <c r="E171" s="20" t="n">
        <v>45569</v>
      </c>
      <c r="F171" s="20" t="n">
        <v>46299</v>
      </c>
      <c r="G171" s="17" t="s">
        <v>258</v>
      </c>
      <c r="H171" s="21" t="n">
        <v>12000</v>
      </c>
    </row>
    <row r="172" customFormat="false" ht="15" hidden="false" customHeight="true" outlineLevel="0" collapsed="false">
      <c r="A172" s="17" t="s">
        <v>459</v>
      </c>
      <c r="B172" s="17" t="s">
        <v>237</v>
      </c>
      <c r="C172" s="8" t="s">
        <v>263</v>
      </c>
      <c r="D172" s="8" t="s">
        <v>264</v>
      </c>
      <c r="E172" s="20" t="n">
        <v>44523</v>
      </c>
      <c r="F172" s="20" t="n">
        <v>46349</v>
      </c>
      <c r="G172" s="17" t="s">
        <v>258</v>
      </c>
      <c r="H172" s="21" t="n">
        <v>1800</v>
      </c>
    </row>
    <row r="173" customFormat="false" ht="15" hidden="false" customHeight="true" outlineLevel="0" collapsed="false">
      <c r="A173" s="17" t="s">
        <v>460</v>
      </c>
      <c r="B173" s="17" t="s">
        <v>237</v>
      </c>
      <c r="C173" s="8" t="s">
        <v>266</v>
      </c>
      <c r="D173" s="8" t="s">
        <v>267</v>
      </c>
      <c r="E173" s="20" t="n">
        <v>44386</v>
      </c>
      <c r="F173" s="20" t="n">
        <v>45482</v>
      </c>
      <c r="G173" s="17" t="s">
        <v>258</v>
      </c>
      <c r="H173" s="21" t="n">
        <v>320</v>
      </c>
    </row>
    <row r="174" customFormat="false" ht="15" hidden="false" customHeight="true" outlineLevel="0" collapsed="false">
      <c r="A174" s="17" t="s">
        <v>461</v>
      </c>
      <c r="B174" s="17" t="s">
        <v>237</v>
      </c>
      <c r="C174" s="8" t="s">
        <v>270</v>
      </c>
      <c r="D174" s="8" t="s">
        <v>281</v>
      </c>
      <c r="E174" s="20" t="n">
        <v>44334</v>
      </c>
      <c r="F174" s="20" t="n">
        <v>45430</v>
      </c>
      <c r="G174" s="17" t="s">
        <v>304</v>
      </c>
      <c r="H174" s="21" t="n">
        <v>480</v>
      </c>
    </row>
    <row r="175" customFormat="false" ht="15" hidden="false" customHeight="true" outlineLevel="0" collapsed="false">
      <c r="A175" s="17" t="s">
        <v>462</v>
      </c>
      <c r="B175" s="17" t="s">
        <v>237</v>
      </c>
      <c r="C175" s="8" t="s">
        <v>283</v>
      </c>
      <c r="D175" s="8" t="s">
        <v>358</v>
      </c>
      <c r="E175" s="20" t="n">
        <v>44918</v>
      </c>
      <c r="F175" s="20" t="n">
        <v>46014</v>
      </c>
      <c r="G175" s="17" t="s">
        <v>258</v>
      </c>
      <c r="H175" s="21" t="n">
        <v>320</v>
      </c>
    </row>
    <row r="176" customFormat="false" ht="15" hidden="false" customHeight="true" outlineLevel="0" collapsed="false">
      <c r="A176" s="17" t="s">
        <v>463</v>
      </c>
      <c r="B176" s="17" t="s">
        <v>237</v>
      </c>
      <c r="C176" s="8" t="s">
        <v>283</v>
      </c>
      <c r="D176" s="8" t="s">
        <v>358</v>
      </c>
      <c r="E176" s="20" t="n">
        <v>43964</v>
      </c>
      <c r="F176" s="20" t="n">
        <v>45059</v>
      </c>
      <c r="G176" s="17" t="s">
        <v>258</v>
      </c>
      <c r="H176" s="21" t="n">
        <v>12000</v>
      </c>
    </row>
    <row r="177" customFormat="false" ht="15" hidden="false" customHeight="true" outlineLevel="0" collapsed="false">
      <c r="A177" s="17" t="s">
        <v>464</v>
      </c>
      <c r="B177" s="17" t="s">
        <v>237</v>
      </c>
      <c r="C177" s="8" t="s">
        <v>263</v>
      </c>
      <c r="D177" s="8" t="s">
        <v>302</v>
      </c>
      <c r="E177" s="20" t="n">
        <v>45431</v>
      </c>
      <c r="F177" s="20" t="n">
        <v>46161</v>
      </c>
      <c r="G177" s="17" t="s">
        <v>258</v>
      </c>
      <c r="H177" s="21" t="n">
        <v>480</v>
      </c>
    </row>
    <row r="178" customFormat="false" ht="15" hidden="false" customHeight="true" outlineLevel="0" collapsed="false">
      <c r="A178" s="17" t="s">
        <v>465</v>
      </c>
      <c r="B178" s="17" t="s">
        <v>237</v>
      </c>
      <c r="C178" s="8" t="s">
        <v>270</v>
      </c>
      <c r="D178" s="8" t="s">
        <v>278</v>
      </c>
      <c r="E178" s="20" t="n">
        <v>45574</v>
      </c>
      <c r="F178" s="20" t="n">
        <v>46669</v>
      </c>
      <c r="G178" s="17" t="s">
        <v>304</v>
      </c>
      <c r="H178" s="21" t="n">
        <v>480</v>
      </c>
    </row>
    <row r="179" customFormat="false" ht="15" hidden="false" customHeight="true" outlineLevel="0" collapsed="false">
      <c r="A179" s="17" t="s">
        <v>466</v>
      </c>
      <c r="B179" s="17" t="s">
        <v>238</v>
      </c>
      <c r="C179" s="8" t="s">
        <v>260</v>
      </c>
      <c r="D179" s="8" t="s">
        <v>298</v>
      </c>
      <c r="E179" s="20" t="n">
        <v>44880</v>
      </c>
      <c r="F179" s="20" t="n">
        <v>46706</v>
      </c>
      <c r="G179" s="17" t="s">
        <v>304</v>
      </c>
      <c r="H179" s="21" t="n">
        <v>750</v>
      </c>
    </row>
    <row r="180" customFormat="false" ht="15" hidden="false" customHeight="true" outlineLevel="0" collapsed="false">
      <c r="A180" s="17" t="s">
        <v>467</v>
      </c>
      <c r="B180" s="17" t="s">
        <v>238</v>
      </c>
      <c r="C180" s="8" t="s">
        <v>309</v>
      </c>
      <c r="D180" s="8" t="s">
        <v>313</v>
      </c>
      <c r="E180" s="20" t="n">
        <v>43613</v>
      </c>
      <c r="F180" s="20" t="n">
        <v>44709</v>
      </c>
      <c r="G180" s="17" t="s">
        <v>304</v>
      </c>
      <c r="H180" s="21" t="n">
        <v>480</v>
      </c>
    </row>
    <row r="181" customFormat="false" ht="15" hidden="false" customHeight="true" outlineLevel="0" collapsed="false">
      <c r="A181" s="17" t="s">
        <v>468</v>
      </c>
      <c r="B181" s="17" t="s">
        <v>238</v>
      </c>
      <c r="C181" s="8" t="s">
        <v>309</v>
      </c>
      <c r="D181" s="8" t="s">
        <v>313</v>
      </c>
      <c r="E181" s="20" t="n">
        <v>44855</v>
      </c>
      <c r="F181" s="20" t="n">
        <v>46681</v>
      </c>
      <c r="G181" s="17" t="s">
        <v>304</v>
      </c>
      <c r="H181" s="21" t="n">
        <v>1200</v>
      </c>
    </row>
    <row r="182" customFormat="false" ht="15" hidden="false" customHeight="true" outlineLevel="0" collapsed="false">
      <c r="A182" s="17" t="s">
        <v>469</v>
      </c>
      <c r="B182" s="17" t="s">
        <v>238</v>
      </c>
      <c r="C182" s="8" t="s">
        <v>256</v>
      </c>
      <c r="D182" s="8" t="s">
        <v>274</v>
      </c>
      <c r="E182" s="20" t="n">
        <v>45278</v>
      </c>
      <c r="F182" s="20" t="n">
        <v>46374</v>
      </c>
      <c r="G182" s="17" t="s">
        <v>258</v>
      </c>
      <c r="H182" s="21" t="n">
        <v>5200</v>
      </c>
    </row>
    <row r="183" customFormat="false" ht="15" hidden="false" customHeight="true" outlineLevel="0" collapsed="false">
      <c r="A183" s="17" t="s">
        <v>470</v>
      </c>
      <c r="B183" s="17" t="s">
        <v>238</v>
      </c>
      <c r="C183" s="8" t="s">
        <v>283</v>
      </c>
      <c r="D183" s="8" t="s">
        <v>284</v>
      </c>
      <c r="E183" s="20" t="n">
        <v>44119</v>
      </c>
      <c r="F183" s="20" t="n">
        <v>45214</v>
      </c>
      <c r="G183" s="17" t="s">
        <v>258</v>
      </c>
      <c r="H183" s="21" t="n">
        <v>2500</v>
      </c>
    </row>
    <row r="184" customFormat="false" ht="15" hidden="false" customHeight="true" outlineLevel="0" collapsed="false">
      <c r="A184" s="17" t="s">
        <v>471</v>
      </c>
      <c r="B184" s="17" t="s">
        <v>238</v>
      </c>
      <c r="C184" s="8" t="s">
        <v>263</v>
      </c>
      <c r="D184" s="8" t="s">
        <v>264</v>
      </c>
      <c r="E184" s="20" t="n">
        <v>43750</v>
      </c>
      <c r="F184" s="20" t="n">
        <v>45577</v>
      </c>
      <c r="G184" s="17" t="s">
        <v>258</v>
      </c>
      <c r="H184" s="21" t="n">
        <v>1800</v>
      </c>
    </row>
    <row r="185" customFormat="false" ht="15" hidden="false" customHeight="true" outlineLevel="0" collapsed="false">
      <c r="A185" s="17" t="s">
        <v>472</v>
      </c>
      <c r="B185" s="17" t="s">
        <v>238</v>
      </c>
      <c r="C185" s="8" t="s">
        <v>260</v>
      </c>
      <c r="D185" s="8" t="s">
        <v>298</v>
      </c>
      <c r="E185" s="20" t="n">
        <v>44149</v>
      </c>
      <c r="F185" s="20" t="n">
        <v>45975</v>
      </c>
      <c r="G185" s="17" t="s">
        <v>258</v>
      </c>
      <c r="H185" s="21" t="n">
        <v>3500</v>
      </c>
    </row>
    <row r="186" customFormat="false" ht="15" hidden="false" customHeight="true" outlineLevel="0" collapsed="false">
      <c r="A186" s="17" t="s">
        <v>473</v>
      </c>
      <c r="B186" s="17" t="s">
        <v>240</v>
      </c>
      <c r="C186" s="8" t="s">
        <v>260</v>
      </c>
      <c r="D186" s="8" t="s">
        <v>298</v>
      </c>
      <c r="E186" s="20" t="n">
        <v>45467</v>
      </c>
      <c r="F186" s="20" t="n">
        <v>46197</v>
      </c>
      <c r="G186" s="17" t="s">
        <v>304</v>
      </c>
      <c r="H186" s="21" t="n">
        <v>1800</v>
      </c>
    </row>
    <row r="187" customFormat="false" ht="15" hidden="false" customHeight="true" outlineLevel="0" collapsed="false">
      <c r="A187" s="17" t="s">
        <v>474</v>
      </c>
      <c r="B187" s="17" t="s">
        <v>240</v>
      </c>
      <c r="C187" s="8" t="s">
        <v>309</v>
      </c>
      <c r="D187" s="8" t="s">
        <v>310</v>
      </c>
      <c r="E187" s="20" t="n">
        <v>43681</v>
      </c>
      <c r="F187" s="20" t="n">
        <v>45508</v>
      </c>
      <c r="G187" s="17" t="s">
        <v>258</v>
      </c>
      <c r="H187" s="21" t="n">
        <v>750</v>
      </c>
    </row>
    <row r="188" customFormat="false" ht="15" hidden="false" customHeight="true" outlineLevel="0" collapsed="false">
      <c r="A188" s="17" t="s">
        <v>475</v>
      </c>
      <c r="B188" s="17" t="s">
        <v>240</v>
      </c>
      <c r="C188" s="8" t="s">
        <v>270</v>
      </c>
      <c r="D188" s="8" t="s">
        <v>278</v>
      </c>
      <c r="E188" s="20" t="n">
        <v>44566</v>
      </c>
      <c r="F188" s="20" t="n">
        <v>45662</v>
      </c>
      <c r="G188" s="17" t="s">
        <v>258</v>
      </c>
      <c r="H188" s="21" t="n">
        <v>2500</v>
      </c>
    </row>
    <row r="189" customFormat="false" ht="15" hidden="false" customHeight="true" outlineLevel="0" collapsed="false">
      <c r="A189" s="17" t="s">
        <v>476</v>
      </c>
      <c r="B189" s="17" t="s">
        <v>240</v>
      </c>
      <c r="C189" s="8" t="s">
        <v>263</v>
      </c>
      <c r="D189" s="8" t="s">
        <v>264</v>
      </c>
      <c r="E189" s="20" t="n">
        <v>44806</v>
      </c>
      <c r="F189" s="20" t="n">
        <v>45902</v>
      </c>
      <c r="G189" s="17" t="s">
        <v>258</v>
      </c>
      <c r="H189" s="21" t="n">
        <v>2500</v>
      </c>
    </row>
    <row r="190" customFormat="false" ht="15" hidden="false" customHeight="true" outlineLevel="0" collapsed="false">
      <c r="A190" s="17" t="s">
        <v>477</v>
      </c>
      <c r="B190" s="17" t="s">
        <v>240</v>
      </c>
      <c r="C190" s="8" t="s">
        <v>283</v>
      </c>
      <c r="D190" s="8" t="s">
        <v>284</v>
      </c>
      <c r="E190" s="20" t="n">
        <v>44092</v>
      </c>
      <c r="F190" s="20" t="n">
        <v>44822</v>
      </c>
      <c r="G190" s="17" t="s">
        <v>258</v>
      </c>
      <c r="H190" s="21" t="n">
        <v>5200</v>
      </c>
    </row>
    <row r="191" customFormat="false" ht="15" hidden="false" customHeight="true" outlineLevel="0" collapsed="false">
      <c r="A191" s="17" t="s">
        <v>478</v>
      </c>
      <c r="B191" s="17" t="s">
        <v>243</v>
      </c>
      <c r="C191" s="8" t="s">
        <v>309</v>
      </c>
      <c r="D191" s="8" t="s">
        <v>313</v>
      </c>
      <c r="E191" s="20" t="n">
        <v>44911</v>
      </c>
      <c r="F191" s="20" t="n">
        <v>45642</v>
      </c>
      <c r="G191" s="17" t="s">
        <v>258</v>
      </c>
      <c r="H191" s="21" t="n">
        <v>2500</v>
      </c>
    </row>
    <row r="192" customFormat="false" ht="15" hidden="false" customHeight="true" outlineLevel="0" collapsed="false">
      <c r="A192" s="17" t="s">
        <v>479</v>
      </c>
      <c r="B192" s="17" t="s">
        <v>243</v>
      </c>
      <c r="C192" s="8" t="s">
        <v>260</v>
      </c>
      <c r="D192" s="8" t="s">
        <v>332</v>
      </c>
      <c r="E192" s="20" t="n">
        <v>45545</v>
      </c>
      <c r="F192" s="20" t="n">
        <v>46640</v>
      </c>
      <c r="G192" s="17" t="s">
        <v>258</v>
      </c>
      <c r="H192" s="21" t="n">
        <v>12000</v>
      </c>
    </row>
    <row r="193" customFormat="false" ht="15" hidden="false" customHeight="true" outlineLevel="0" collapsed="false">
      <c r="A193" s="17" t="s">
        <v>480</v>
      </c>
      <c r="B193" s="17" t="s">
        <v>243</v>
      </c>
      <c r="C193" s="8" t="s">
        <v>263</v>
      </c>
      <c r="D193" s="8" t="s">
        <v>264</v>
      </c>
      <c r="E193" s="20" t="n">
        <v>43814</v>
      </c>
      <c r="F193" s="20" t="n">
        <v>44545</v>
      </c>
      <c r="G193" s="17" t="s">
        <v>258</v>
      </c>
      <c r="H193" s="21" t="n">
        <v>750</v>
      </c>
    </row>
    <row r="194" customFormat="false" ht="15" hidden="false" customHeight="true" outlineLevel="0" collapsed="false">
      <c r="A194" s="17" t="s">
        <v>481</v>
      </c>
      <c r="B194" s="17" t="s">
        <v>243</v>
      </c>
      <c r="C194" s="8" t="s">
        <v>289</v>
      </c>
      <c r="D194" s="8" t="s">
        <v>315</v>
      </c>
      <c r="E194" s="20" t="n">
        <v>43734</v>
      </c>
      <c r="F194" s="20" t="n">
        <v>44465</v>
      </c>
      <c r="G194" s="17" t="s">
        <v>258</v>
      </c>
      <c r="H194" s="21" t="n">
        <v>2500</v>
      </c>
    </row>
    <row r="195" customFormat="false" ht="15" hidden="false" customHeight="true" outlineLevel="0" collapsed="false">
      <c r="A195" s="17" t="s">
        <v>482</v>
      </c>
      <c r="B195" s="17" t="s">
        <v>243</v>
      </c>
      <c r="C195" s="8" t="s">
        <v>263</v>
      </c>
      <c r="D195" s="8" t="s">
        <v>293</v>
      </c>
      <c r="E195" s="20" t="n">
        <v>45027</v>
      </c>
      <c r="F195" s="20" t="n">
        <v>46854</v>
      </c>
      <c r="G195" s="17" t="s">
        <v>258</v>
      </c>
      <c r="H195" s="21" t="n">
        <v>480</v>
      </c>
    </row>
    <row r="196" customFormat="false" ht="15" hidden="false" customHeight="true" outlineLevel="0" collapsed="false">
      <c r="A196" s="17" t="s">
        <v>483</v>
      </c>
      <c r="B196" s="17" t="s">
        <v>243</v>
      </c>
      <c r="C196" s="8" t="s">
        <v>289</v>
      </c>
      <c r="D196" s="8" t="s">
        <v>315</v>
      </c>
      <c r="E196" s="20" t="n">
        <v>44687</v>
      </c>
      <c r="F196" s="20" t="n">
        <v>45783</v>
      </c>
      <c r="G196" s="17" t="s">
        <v>258</v>
      </c>
      <c r="H196" s="21" t="n">
        <v>1800</v>
      </c>
    </row>
    <row r="197" customFormat="false" ht="15" hidden="false" customHeight="true" outlineLevel="0" collapsed="false">
      <c r="A197" s="17" t="s">
        <v>484</v>
      </c>
      <c r="B197" s="17" t="s">
        <v>243</v>
      </c>
      <c r="C197" s="8" t="s">
        <v>266</v>
      </c>
      <c r="D197" s="8" t="s">
        <v>307</v>
      </c>
      <c r="E197" s="20" t="n">
        <v>43741</v>
      </c>
      <c r="F197" s="20" t="n">
        <v>45568</v>
      </c>
      <c r="G197" s="17" t="s">
        <v>258</v>
      </c>
      <c r="H197" s="21" t="n">
        <v>2500</v>
      </c>
    </row>
    <row r="198" customFormat="false" ht="15" hidden="false" customHeight="true" outlineLevel="0" collapsed="false">
      <c r="A198" s="17" t="s">
        <v>485</v>
      </c>
      <c r="B198" s="17" t="s">
        <v>243</v>
      </c>
      <c r="C198" s="8" t="s">
        <v>270</v>
      </c>
      <c r="D198" s="8" t="s">
        <v>281</v>
      </c>
      <c r="E198" s="20" t="n">
        <v>43544</v>
      </c>
      <c r="F198" s="20" t="n">
        <v>44275</v>
      </c>
      <c r="G198" s="17" t="s">
        <v>258</v>
      </c>
      <c r="H198" s="21" t="n">
        <v>1800</v>
      </c>
    </row>
    <row r="199" customFormat="false" ht="15" hidden="false" customHeight="true" outlineLevel="0" collapsed="false">
      <c r="A199" s="17" t="s">
        <v>486</v>
      </c>
      <c r="B199" s="17" t="s">
        <v>243</v>
      </c>
      <c r="C199" s="8" t="s">
        <v>263</v>
      </c>
      <c r="D199" s="8" t="s">
        <v>264</v>
      </c>
      <c r="E199" s="20" t="n">
        <v>45088</v>
      </c>
      <c r="F199" s="20" t="n">
        <v>46915</v>
      </c>
      <c r="G199" s="17" t="s">
        <v>258</v>
      </c>
      <c r="H199" s="21" t="n">
        <v>5200</v>
      </c>
    </row>
    <row r="200" customFormat="false" ht="26.25" hidden="false" customHeight="true" outlineLevel="0" collapsed="false">
      <c r="A200" s="17" t="s">
        <v>487</v>
      </c>
      <c r="B200" s="17" t="s">
        <v>245</v>
      </c>
      <c r="C200" s="8" t="s">
        <v>270</v>
      </c>
      <c r="D200" s="8" t="s">
        <v>271</v>
      </c>
      <c r="E200" s="20" t="n">
        <v>43971</v>
      </c>
      <c r="F200" s="20" t="n">
        <v>45066</v>
      </c>
      <c r="G200" s="17" t="s">
        <v>268</v>
      </c>
      <c r="H200" s="21" t="n">
        <v>1800</v>
      </c>
    </row>
    <row r="201" customFormat="false" ht="15" hidden="false" customHeight="true" outlineLevel="0" collapsed="false">
      <c r="A201" s="17" t="s">
        <v>488</v>
      </c>
      <c r="B201" s="17" t="s">
        <v>245</v>
      </c>
      <c r="C201" s="8" t="s">
        <v>289</v>
      </c>
      <c r="D201" s="8" t="s">
        <v>337</v>
      </c>
      <c r="E201" s="20" t="n">
        <v>44795</v>
      </c>
      <c r="F201" s="20" t="n">
        <v>45891</v>
      </c>
      <c r="G201" s="17" t="s">
        <v>258</v>
      </c>
      <c r="H201" s="21" t="n">
        <v>7800</v>
      </c>
    </row>
    <row r="202" customFormat="false" ht="15" hidden="false" customHeight="true" outlineLevel="0" collapsed="false">
      <c r="A202" s="17" t="s">
        <v>489</v>
      </c>
      <c r="B202" s="17" t="s">
        <v>245</v>
      </c>
      <c r="C202" s="8" t="s">
        <v>283</v>
      </c>
      <c r="D202" s="8" t="s">
        <v>284</v>
      </c>
      <c r="E202" s="20" t="n">
        <v>45067</v>
      </c>
      <c r="F202" s="20" t="n">
        <v>46894</v>
      </c>
      <c r="G202" s="17" t="s">
        <v>258</v>
      </c>
      <c r="H202" s="21" t="n">
        <v>7800</v>
      </c>
    </row>
    <row r="203" customFormat="false" ht="15" hidden="false" customHeight="true" outlineLevel="0" collapsed="false">
      <c r="A203" s="17" t="s">
        <v>490</v>
      </c>
      <c r="B203" s="17" t="s">
        <v>245</v>
      </c>
      <c r="C203" s="8" t="s">
        <v>309</v>
      </c>
      <c r="D203" s="8" t="s">
        <v>313</v>
      </c>
      <c r="E203" s="20" t="n">
        <v>43326</v>
      </c>
      <c r="F203" s="20" t="n">
        <v>44422</v>
      </c>
      <c r="G203" s="17" t="s">
        <v>258</v>
      </c>
      <c r="H203" s="21" t="n">
        <v>7800</v>
      </c>
    </row>
    <row r="204" customFormat="false" ht="15" hidden="false" customHeight="true" outlineLevel="0" collapsed="false">
      <c r="A204" s="17" t="s">
        <v>491</v>
      </c>
      <c r="B204" s="17" t="s">
        <v>245</v>
      </c>
      <c r="C204" s="8" t="s">
        <v>309</v>
      </c>
      <c r="D204" s="8" t="s">
        <v>322</v>
      </c>
      <c r="E204" s="20" t="n">
        <v>44578</v>
      </c>
      <c r="F204" s="20" t="n">
        <v>45308</v>
      </c>
      <c r="G204" s="17" t="s">
        <v>258</v>
      </c>
      <c r="H204" s="21" t="n">
        <v>12000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7" min="6" style="1" width="16"/>
  </cols>
  <sheetData>
    <row r="1" customFormat="false" ht="31.5" hidden="false" customHeight="true" outlineLevel="0" collapsed="false">
      <c r="A1" s="2" t="s">
        <v>492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18" t="s">
        <v>493</v>
      </c>
      <c r="B2" s="18" t="s">
        <v>494</v>
      </c>
      <c r="C2" s="18" t="s">
        <v>495</v>
      </c>
      <c r="D2" s="18" t="s">
        <v>496</v>
      </c>
      <c r="E2" s="18" t="s">
        <v>497</v>
      </c>
      <c r="F2" s="18" t="s">
        <v>498</v>
      </c>
      <c r="G2" s="18" t="s">
        <v>499</v>
      </c>
    </row>
    <row r="3" customFormat="false" ht="15" hidden="false" customHeight="true" outlineLevel="0" collapsed="false">
      <c r="A3" s="17" t="s">
        <v>500</v>
      </c>
      <c r="B3" s="8" t="s">
        <v>501</v>
      </c>
      <c r="C3" s="8" t="s">
        <v>289</v>
      </c>
      <c r="D3" s="22" t="n">
        <v>4.6</v>
      </c>
      <c r="E3" s="21" t="n">
        <v>185000</v>
      </c>
      <c r="F3" s="20" t="n">
        <v>45035</v>
      </c>
      <c r="G3" s="20" t="n">
        <v>45766</v>
      </c>
    </row>
    <row r="4" customFormat="false" ht="15" hidden="false" customHeight="true" outlineLevel="0" collapsed="false">
      <c r="A4" s="17" t="s">
        <v>502</v>
      </c>
      <c r="B4" s="8" t="s">
        <v>503</v>
      </c>
      <c r="C4" s="8" t="s">
        <v>270</v>
      </c>
      <c r="D4" s="22" t="n">
        <v>4.3</v>
      </c>
      <c r="E4" s="21" t="n">
        <v>142000</v>
      </c>
      <c r="F4" s="20" t="n">
        <v>45174</v>
      </c>
      <c r="G4" s="20" t="n">
        <v>45905</v>
      </c>
    </row>
    <row r="5" customFormat="false" ht="15" hidden="false" customHeight="true" outlineLevel="0" collapsed="false">
      <c r="A5" s="17" t="s">
        <v>504</v>
      </c>
      <c r="B5" s="8" t="s">
        <v>505</v>
      </c>
      <c r="C5" s="8" t="s">
        <v>263</v>
      </c>
      <c r="D5" s="22" t="n">
        <v>4.8</v>
      </c>
      <c r="E5" s="21" t="n">
        <v>210000</v>
      </c>
      <c r="F5" s="20" t="n">
        <v>45097</v>
      </c>
      <c r="G5" s="20" t="n">
        <v>45828</v>
      </c>
    </row>
    <row r="6" customFormat="false" ht="15" hidden="false" customHeight="true" outlineLevel="0" collapsed="false">
      <c r="A6" s="17" t="s">
        <v>506</v>
      </c>
      <c r="B6" s="8" t="s">
        <v>507</v>
      </c>
      <c r="C6" s="8" t="s">
        <v>266</v>
      </c>
      <c r="D6" s="22" t="n">
        <v>4.1</v>
      </c>
      <c r="E6" s="21" t="n">
        <v>95000</v>
      </c>
      <c r="F6" s="20" t="n">
        <v>45159</v>
      </c>
      <c r="G6" s="20" t="n">
        <v>45890</v>
      </c>
    </row>
    <row r="7" customFormat="false" ht="15" hidden="false" customHeight="true" outlineLevel="0" collapsed="false">
      <c r="A7" s="17" t="s">
        <v>508</v>
      </c>
      <c r="B7" s="8" t="s">
        <v>509</v>
      </c>
      <c r="C7" s="8" t="s">
        <v>256</v>
      </c>
      <c r="D7" s="22" t="n">
        <v>3.9</v>
      </c>
      <c r="E7" s="21" t="n">
        <v>68000</v>
      </c>
      <c r="F7" s="20" t="n">
        <v>45202</v>
      </c>
      <c r="G7" s="20" t="n">
        <v>45933</v>
      </c>
    </row>
    <row r="8" customFormat="false" ht="15" hidden="false" customHeight="true" outlineLevel="0" collapsed="false">
      <c r="A8" s="17" t="s">
        <v>510</v>
      </c>
      <c r="B8" s="8" t="s">
        <v>511</v>
      </c>
      <c r="C8" s="8" t="s">
        <v>309</v>
      </c>
      <c r="D8" s="22" t="n">
        <v>4.7</v>
      </c>
      <c r="E8" s="21" t="n">
        <v>120000</v>
      </c>
      <c r="F8" s="20" t="n">
        <v>45200</v>
      </c>
      <c r="G8" s="20" t="n">
        <v>45931</v>
      </c>
    </row>
    <row r="9" customFormat="false" ht="15" hidden="false" customHeight="true" outlineLevel="0" collapsed="false">
      <c r="A9" s="17" t="s">
        <v>512</v>
      </c>
      <c r="B9" s="8" t="s">
        <v>513</v>
      </c>
      <c r="C9" s="8" t="s">
        <v>260</v>
      </c>
      <c r="D9" s="22" t="n">
        <v>4</v>
      </c>
      <c r="E9" s="21" t="n">
        <v>85000</v>
      </c>
      <c r="F9" s="20" t="n">
        <v>45147</v>
      </c>
      <c r="G9" s="20" t="n">
        <v>45878</v>
      </c>
    </row>
    <row r="10" customFormat="false" ht="15" hidden="false" customHeight="true" outlineLevel="0" collapsed="false">
      <c r="A10" s="17" t="s">
        <v>514</v>
      </c>
      <c r="B10" s="8" t="s">
        <v>515</v>
      </c>
      <c r="C10" s="8" t="s">
        <v>283</v>
      </c>
      <c r="D10" s="22" t="n">
        <v>4.2</v>
      </c>
      <c r="E10" s="21" t="n">
        <v>55000</v>
      </c>
      <c r="F10" s="20" t="n">
        <v>45177</v>
      </c>
      <c r="G10" s="20" t="n">
        <v>45908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2" t="s">
        <v>516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18" t="s">
        <v>517</v>
      </c>
      <c r="B2" s="18" t="s">
        <v>518</v>
      </c>
      <c r="C2" s="18" t="s">
        <v>519</v>
      </c>
      <c r="D2" s="18" t="s">
        <v>520</v>
      </c>
      <c r="E2" s="18" t="s">
        <v>521</v>
      </c>
      <c r="F2" s="18" t="s">
        <v>522</v>
      </c>
      <c r="G2" s="18" t="s">
        <v>523</v>
      </c>
    </row>
    <row r="3" customFormat="false" ht="15" hidden="false" customHeight="true" outlineLevel="0" collapsed="false">
      <c r="A3" s="17" t="s">
        <v>171</v>
      </c>
      <c r="B3" s="8" t="s">
        <v>524</v>
      </c>
      <c r="C3" s="8" t="s">
        <v>525</v>
      </c>
      <c r="D3" s="8" t="s">
        <v>526</v>
      </c>
      <c r="E3" s="20" t="n">
        <v>43914</v>
      </c>
      <c r="F3" s="21" t="n">
        <v>65000</v>
      </c>
      <c r="G3" s="8" t="s">
        <v>527</v>
      </c>
    </row>
    <row r="4" customFormat="false" ht="26.25" hidden="false" customHeight="true" outlineLevel="0" collapsed="false">
      <c r="A4" s="17" t="s">
        <v>203</v>
      </c>
      <c r="B4" s="8" t="s">
        <v>528</v>
      </c>
      <c r="C4" s="8" t="s">
        <v>529</v>
      </c>
      <c r="D4" s="8" t="s">
        <v>530</v>
      </c>
      <c r="E4" s="20" t="n">
        <v>43375</v>
      </c>
      <c r="F4" s="21" t="n">
        <v>58000</v>
      </c>
      <c r="G4" s="8" t="s">
        <v>531</v>
      </c>
    </row>
    <row r="5" customFormat="false" ht="15" hidden="false" customHeight="true" outlineLevel="0" collapsed="false">
      <c r="A5" s="17" t="s">
        <v>230</v>
      </c>
      <c r="B5" s="8" t="s">
        <v>532</v>
      </c>
      <c r="C5" s="8" t="s">
        <v>533</v>
      </c>
      <c r="D5" s="8" t="s">
        <v>534</v>
      </c>
      <c r="E5" s="20" t="n">
        <v>45095</v>
      </c>
      <c r="F5" s="21" t="n">
        <v>52000</v>
      </c>
      <c r="G5" s="8" t="s">
        <v>535</v>
      </c>
    </row>
    <row r="6" customFormat="false" ht="15" hidden="false" customHeight="true" outlineLevel="0" collapsed="false">
      <c r="A6" s="17" t="s">
        <v>197</v>
      </c>
      <c r="B6" s="8" t="s">
        <v>536</v>
      </c>
      <c r="C6" s="8" t="s">
        <v>525</v>
      </c>
      <c r="D6" s="8" t="s">
        <v>526</v>
      </c>
      <c r="E6" s="20" t="n">
        <v>44054</v>
      </c>
      <c r="F6" s="21" t="n">
        <v>52000</v>
      </c>
      <c r="G6" s="8" t="s">
        <v>537</v>
      </c>
    </row>
    <row r="7" customFormat="false" ht="15" hidden="false" customHeight="true" outlineLevel="0" collapsed="false">
      <c r="A7" s="17" t="s">
        <v>166</v>
      </c>
      <c r="B7" s="8" t="s">
        <v>538</v>
      </c>
      <c r="C7" s="8" t="s">
        <v>539</v>
      </c>
      <c r="D7" s="8" t="s">
        <v>540</v>
      </c>
      <c r="E7" s="20" t="n">
        <v>44993</v>
      </c>
      <c r="F7" s="21" t="n">
        <v>42000</v>
      </c>
      <c r="G7" s="8" t="s">
        <v>541</v>
      </c>
    </row>
    <row r="8" customFormat="false" ht="26.25" hidden="false" customHeight="true" outlineLevel="0" collapsed="false">
      <c r="A8" s="17" t="s">
        <v>222</v>
      </c>
      <c r="B8" s="8" t="s">
        <v>542</v>
      </c>
      <c r="C8" s="8" t="s">
        <v>543</v>
      </c>
      <c r="D8" s="8" t="s">
        <v>544</v>
      </c>
      <c r="E8" s="20" t="n">
        <v>42811</v>
      </c>
      <c r="F8" s="21" t="n">
        <v>58000</v>
      </c>
      <c r="G8" s="8" t="s">
        <v>545</v>
      </c>
    </row>
    <row r="9" customFormat="false" ht="26.25" hidden="false" customHeight="true" outlineLevel="0" collapsed="false">
      <c r="A9" s="17" t="s">
        <v>174</v>
      </c>
      <c r="B9" s="8" t="s">
        <v>546</v>
      </c>
      <c r="C9" s="8" t="s">
        <v>529</v>
      </c>
      <c r="D9" s="8" t="s">
        <v>530</v>
      </c>
      <c r="E9" s="20" t="n">
        <v>42973</v>
      </c>
      <c r="F9" s="21" t="n">
        <v>52000</v>
      </c>
      <c r="G9" s="8" t="s">
        <v>547</v>
      </c>
    </row>
    <row r="10" customFormat="false" ht="26.25" hidden="false" customHeight="true" outlineLevel="0" collapsed="false">
      <c r="A10" s="17" t="s">
        <v>156</v>
      </c>
      <c r="B10" s="8" t="s">
        <v>548</v>
      </c>
      <c r="C10" s="8" t="s">
        <v>529</v>
      </c>
      <c r="D10" s="8" t="s">
        <v>530</v>
      </c>
      <c r="E10" s="20" t="n">
        <v>44010</v>
      </c>
      <c r="F10" s="21" t="n">
        <v>52000</v>
      </c>
      <c r="G10" s="8" t="s">
        <v>549</v>
      </c>
    </row>
    <row r="11" customFormat="false" ht="15" hidden="false" customHeight="true" outlineLevel="0" collapsed="false">
      <c r="A11" s="17" t="s">
        <v>178</v>
      </c>
      <c r="B11" s="8" t="s">
        <v>550</v>
      </c>
      <c r="C11" s="8" t="s">
        <v>533</v>
      </c>
      <c r="D11" s="8" t="s">
        <v>534</v>
      </c>
      <c r="E11" s="20" t="n">
        <v>44882</v>
      </c>
      <c r="F11" s="21" t="n">
        <v>42000</v>
      </c>
      <c r="G11" s="8" t="s">
        <v>551</v>
      </c>
    </row>
    <row r="12" customFormat="false" ht="15" hidden="false" customHeight="true" outlineLevel="0" collapsed="false">
      <c r="A12" s="17" t="s">
        <v>193</v>
      </c>
      <c r="B12" s="8" t="s">
        <v>552</v>
      </c>
      <c r="C12" s="8" t="s">
        <v>533</v>
      </c>
      <c r="D12" s="8" t="s">
        <v>534</v>
      </c>
      <c r="E12" s="20" t="n">
        <v>45196</v>
      </c>
      <c r="F12" s="21" t="n">
        <v>46000</v>
      </c>
      <c r="G12" s="8" t="s">
        <v>553</v>
      </c>
    </row>
    <row r="13" customFormat="false" ht="26.25" hidden="false" customHeight="true" outlineLevel="0" collapsed="false">
      <c r="A13" s="17" t="s">
        <v>554</v>
      </c>
      <c r="B13" s="8" t="s">
        <v>555</v>
      </c>
      <c r="C13" s="8" t="s">
        <v>543</v>
      </c>
      <c r="D13" s="8" t="s">
        <v>544</v>
      </c>
      <c r="E13" s="20" t="n">
        <v>45644</v>
      </c>
      <c r="F13" s="21" t="n">
        <v>65000</v>
      </c>
      <c r="G13" s="8" t="s">
        <v>556</v>
      </c>
    </row>
    <row r="14" customFormat="false" ht="15" hidden="false" customHeight="true" outlineLevel="0" collapsed="false">
      <c r="A14" s="17" t="s">
        <v>187</v>
      </c>
      <c r="B14" s="8" t="s">
        <v>555</v>
      </c>
      <c r="C14" s="8" t="s">
        <v>539</v>
      </c>
      <c r="D14" s="8" t="s">
        <v>540</v>
      </c>
      <c r="E14" s="20" t="n">
        <v>44192</v>
      </c>
      <c r="F14" s="21" t="n">
        <v>42000</v>
      </c>
      <c r="G14" s="8" t="s">
        <v>556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12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31.5" hidden="false" customHeight="true" outlineLevel="0" collapsed="false">
      <c r="A1" s="2" t="s">
        <v>557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18" t="s">
        <v>558</v>
      </c>
      <c r="B2" s="18" t="s">
        <v>559</v>
      </c>
      <c r="C2" s="18" t="s">
        <v>143</v>
      </c>
      <c r="D2" s="18" t="s">
        <v>249</v>
      </c>
      <c r="E2" s="18" t="s">
        <v>493</v>
      </c>
      <c r="F2" s="18" t="s">
        <v>560</v>
      </c>
      <c r="G2" s="18" t="s">
        <v>561</v>
      </c>
      <c r="H2" s="18" t="s">
        <v>102</v>
      </c>
      <c r="I2" s="18" t="s">
        <v>254</v>
      </c>
      <c r="J2" s="18" t="s">
        <v>562</v>
      </c>
    </row>
    <row r="3" customFormat="false" ht="26.25" hidden="false" customHeight="true" outlineLevel="0" collapsed="false">
      <c r="A3" s="17" t="s">
        <v>563</v>
      </c>
      <c r="B3" s="20" t="n">
        <v>46107</v>
      </c>
      <c r="C3" s="17" t="s">
        <v>234</v>
      </c>
      <c r="D3" s="17" t="s">
        <v>449</v>
      </c>
      <c r="E3" s="17" t="s">
        <v>510</v>
      </c>
      <c r="F3" s="8" t="s">
        <v>564</v>
      </c>
      <c r="G3" s="17" t="s">
        <v>565</v>
      </c>
      <c r="H3" s="17" t="s">
        <v>108</v>
      </c>
      <c r="I3" s="21" t="n">
        <v>2600</v>
      </c>
      <c r="J3" s="17" t="n">
        <v>0</v>
      </c>
    </row>
    <row r="4" customFormat="false" ht="26.25" hidden="false" customHeight="true" outlineLevel="0" collapsed="false">
      <c r="A4" s="17" t="s">
        <v>566</v>
      </c>
      <c r="B4" s="20" t="n">
        <v>46034</v>
      </c>
      <c r="C4" s="17" t="s">
        <v>162</v>
      </c>
      <c r="D4" s="17" t="s">
        <v>285</v>
      </c>
      <c r="E4" s="17" t="s">
        <v>508</v>
      </c>
      <c r="F4" s="8" t="s">
        <v>567</v>
      </c>
      <c r="G4" s="17" t="s">
        <v>568</v>
      </c>
      <c r="H4" s="17" t="s">
        <v>113</v>
      </c>
      <c r="I4" s="21" t="n">
        <v>120</v>
      </c>
      <c r="J4" s="17"/>
    </row>
    <row r="5" customFormat="false" ht="26.25" hidden="false" customHeight="true" outlineLevel="0" collapsed="false">
      <c r="A5" s="17" t="s">
        <v>569</v>
      </c>
      <c r="B5" s="20" t="n">
        <v>46046</v>
      </c>
      <c r="C5" s="17" t="s">
        <v>226</v>
      </c>
      <c r="D5" s="17" t="s">
        <v>436</v>
      </c>
      <c r="E5" s="17" t="s">
        <v>504</v>
      </c>
      <c r="F5" s="8" t="s">
        <v>570</v>
      </c>
      <c r="G5" s="17" t="s">
        <v>571</v>
      </c>
      <c r="H5" s="17" t="s">
        <v>113</v>
      </c>
      <c r="I5" s="21" t="n">
        <v>620</v>
      </c>
      <c r="J5" s="17"/>
    </row>
    <row r="6" customFormat="false" ht="26.25" hidden="false" customHeight="true" outlineLevel="0" collapsed="false">
      <c r="A6" s="17" t="s">
        <v>572</v>
      </c>
      <c r="B6" s="20" t="n">
        <v>46073</v>
      </c>
      <c r="C6" s="17" t="s">
        <v>179</v>
      </c>
      <c r="D6" s="17" t="s">
        <v>327</v>
      </c>
      <c r="E6" s="17" t="s">
        <v>504</v>
      </c>
      <c r="F6" s="8" t="s">
        <v>573</v>
      </c>
      <c r="G6" s="17" t="s">
        <v>571</v>
      </c>
      <c r="H6" s="17" t="s">
        <v>105</v>
      </c>
      <c r="I6" s="21" t="n">
        <v>85</v>
      </c>
      <c r="J6" s="17"/>
    </row>
    <row r="7" customFormat="false" ht="26.25" hidden="false" customHeight="true" outlineLevel="0" collapsed="false">
      <c r="A7" s="17" t="s">
        <v>574</v>
      </c>
      <c r="B7" s="20" t="n">
        <v>46081</v>
      </c>
      <c r="C7" s="17" t="s">
        <v>188</v>
      </c>
      <c r="D7" s="17" t="s">
        <v>342</v>
      </c>
      <c r="E7" s="17" t="s">
        <v>500</v>
      </c>
      <c r="F7" s="8" t="s">
        <v>570</v>
      </c>
      <c r="G7" s="17" t="s">
        <v>575</v>
      </c>
      <c r="H7" s="17" t="s">
        <v>576</v>
      </c>
      <c r="I7" s="21" t="n">
        <v>1200</v>
      </c>
      <c r="J7" s="17"/>
    </row>
    <row r="8" customFormat="false" ht="26.25" hidden="false" customHeight="true" outlineLevel="0" collapsed="false">
      <c r="A8" s="17" t="s">
        <v>577</v>
      </c>
      <c r="B8" s="20" t="n">
        <v>46076</v>
      </c>
      <c r="C8" s="17" t="s">
        <v>237</v>
      </c>
      <c r="D8" s="17" t="s">
        <v>463</v>
      </c>
      <c r="E8" s="17" t="s">
        <v>514</v>
      </c>
      <c r="F8" s="8" t="s">
        <v>570</v>
      </c>
      <c r="G8" s="17" t="s">
        <v>565</v>
      </c>
      <c r="H8" s="17" t="s">
        <v>108</v>
      </c>
      <c r="I8" s="21" t="n">
        <v>180</v>
      </c>
      <c r="J8" s="17" t="n">
        <v>1</v>
      </c>
    </row>
    <row r="9" customFormat="false" ht="26.25" hidden="false" customHeight="true" outlineLevel="0" collapsed="false">
      <c r="A9" s="17" t="s">
        <v>578</v>
      </c>
      <c r="B9" s="20" t="n">
        <v>46033</v>
      </c>
      <c r="C9" s="17" t="s">
        <v>179</v>
      </c>
      <c r="D9" s="17" t="s">
        <v>324</v>
      </c>
      <c r="E9" s="17" t="s">
        <v>512</v>
      </c>
      <c r="F9" s="8" t="s">
        <v>579</v>
      </c>
      <c r="G9" s="17" t="s">
        <v>568</v>
      </c>
      <c r="H9" s="17" t="s">
        <v>108</v>
      </c>
      <c r="I9" s="21" t="n">
        <v>480</v>
      </c>
      <c r="J9" s="17" t="n">
        <v>1</v>
      </c>
    </row>
    <row r="10" customFormat="false" ht="26.25" hidden="false" customHeight="true" outlineLevel="0" collapsed="false">
      <c r="A10" s="17" t="s">
        <v>580</v>
      </c>
      <c r="B10" s="20" t="n">
        <v>46087</v>
      </c>
      <c r="C10" s="17" t="s">
        <v>198</v>
      </c>
      <c r="D10" s="17" t="s">
        <v>368</v>
      </c>
      <c r="E10" s="17" t="s">
        <v>514</v>
      </c>
      <c r="F10" s="8" t="s">
        <v>567</v>
      </c>
      <c r="G10" s="17" t="s">
        <v>571</v>
      </c>
      <c r="H10" s="17" t="s">
        <v>113</v>
      </c>
      <c r="I10" s="21" t="n">
        <v>340</v>
      </c>
      <c r="J10" s="17"/>
    </row>
    <row r="11" customFormat="false" ht="26.25" hidden="false" customHeight="true" outlineLevel="0" collapsed="false">
      <c r="A11" s="17" t="s">
        <v>581</v>
      </c>
      <c r="B11" s="20" t="n">
        <v>46113</v>
      </c>
      <c r="C11" s="17" t="s">
        <v>157</v>
      </c>
      <c r="D11" s="17" t="s">
        <v>272</v>
      </c>
      <c r="E11" s="17" t="s">
        <v>508</v>
      </c>
      <c r="F11" s="8" t="s">
        <v>573</v>
      </c>
      <c r="G11" s="17" t="s">
        <v>568</v>
      </c>
      <c r="H11" s="17" t="s">
        <v>113</v>
      </c>
      <c r="I11" s="21" t="n">
        <v>1800</v>
      </c>
      <c r="J11" s="17"/>
    </row>
    <row r="12" customFormat="false" ht="26.25" hidden="false" customHeight="true" outlineLevel="0" collapsed="false">
      <c r="A12" s="17" t="s">
        <v>582</v>
      </c>
      <c r="B12" s="20" t="n">
        <v>46045</v>
      </c>
      <c r="C12" s="17" t="s">
        <v>151</v>
      </c>
      <c r="D12" s="17" t="s">
        <v>262</v>
      </c>
      <c r="E12" s="17" t="s">
        <v>504</v>
      </c>
      <c r="F12" s="8" t="s">
        <v>570</v>
      </c>
      <c r="G12" s="17" t="s">
        <v>571</v>
      </c>
      <c r="H12" s="17" t="s">
        <v>576</v>
      </c>
      <c r="I12" s="21" t="n">
        <v>120</v>
      </c>
      <c r="J12" s="17"/>
    </row>
    <row r="13" customFormat="false" ht="26.25" hidden="false" customHeight="true" outlineLevel="0" collapsed="false">
      <c r="A13" s="17" t="s">
        <v>583</v>
      </c>
      <c r="B13" s="20" t="n">
        <v>46124</v>
      </c>
      <c r="C13" s="17" t="s">
        <v>243</v>
      </c>
      <c r="D13" s="17" t="s">
        <v>483</v>
      </c>
      <c r="E13" s="17" t="s">
        <v>500</v>
      </c>
      <c r="F13" s="8" t="s">
        <v>573</v>
      </c>
      <c r="G13" s="17" t="s">
        <v>571</v>
      </c>
      <c r="H13" s="17" t="s">
        <v>108</v>
      </c>
      <c r="I13" s="21" t="n">
        <v>480</v>
      </c>
      <c r="J13" s="17" t="n">
        <v>3</v>
      </c>
    </row>
    <row r="14" customFormat="false" ht="26.25" hidden="false" customHeight="true" outlineLevel="0" collapsed="false">
      <c r="A14" s="17" t="s">
        <v>584</v>
      </c>
      <c r="B14" s="20" t="n">
        <v>46115</v>
      </c>
      <c r="C14" s="17" t="s">
        <v>198</v>
      </c>
      <c r="D14" s="17" t="s">
        <v>365</v>
      </c>
      <c r="E14" s="17" t="s">
        <v>506</v>
      </c>
      <c r="F14" s="8" t="s">
        <v>570</v>
      </c>
      <c r="G14" s="17" t="s">
        <v>571</v>
      </c>
      <c r="H14" s="17" t="s">
        <v>108</v>
      </c>
      <c r="I14" s="21" t="n">
        <v>1200</v>
      </c>
      <c r="J14" s="17" t="n">
        <v>7</v>
      </c>
    </row>
    <row r="15" customFormat="false" ht="26.25" hidden="false" customHeight="true" outlineLevel="0" collapsed="false">
      <c r="A15" s="17" t="s">
        <v>585</v>
      </c>
      <c r="B15" s="20" t="n">
        <v>46091</v>
      </c>
      <c r="C15" s="17" t="s">
        <v>172</v>
      </c>
      <c r="D15" s="17" t="s">
        <v>301</v>
      </c>
      <c r="E15" s="17" t="s">
        <v>504</v>
      </c>
      <c r="F15" s="8" t="s">
        <v>570</v>
      </c>
      <c r="G15" s="17" t="s">
        <v>568</v>
      </c>
      <c r="H15" s="17" t="s">
        <v>108</v>
      </c>
      <c r="I15" s="21" t="n">
        <v>85</v>
      </c>
      <c r="J15" s="17" t="n">
        <v>4</v>
      </c>
    </row>
    <row r="16" customFormat="false" ht="26.25" hidden="false" customHeight="true" outlineLevel="0" collapsed="false">
      <c r="A16" s="17" t="s">
        <v>586</v>
      </c>
      <c r="B16" s="20" t="n">
        <v>46030</v>
      </c>
      <c r="C16" s="17" t="s">
        <v>167</v>
      </c>
      <c r="D16" s="17" t="s">
        <v>296</v>
      </c>
      <c r="E16" s="17" t="s">
        <v>506</v>
      </c>
      <c r="F16" s="8" t="s">
        <v>564</v>
      </c>
      <c r="G16" s="17" t="s">
        <v>571</v>
      </c>
      <c r="H16" s="17" t="s">
        <v>108</v>
      </c>
      <c r="I16" s="21" t="n">
        <v>2600</v>
      </c>
      <c r="J16" s="17" t="n">
        <v>8</v>
      </c>
    </row>
    <row r="17" customFormat="false" ht="26.25" hidden="false" customHeight="true" outlineLevel="0" collapsed="false">
      <c r="A17" s="17" t="s">
        <v>587</v>
      </c>
      <c r="B17" s="20" t="n">
        <v>46108</v>
      </c>
      <c r="C17" s="17" t="s">
        <v>157</v>
      </c>
      <c r="D17" s="17" t="s">
        <v>276</v>
      </c>
      <c r="E17" s="17" t="s">
        <v>508</v>
      </c>
      <c r="F17" s="8" t="s">
        <v>570</v>
      </c>
      <c r="G17" s="17" t="s">
        <v>575</v>
      </c>
      <c r="H17" s="17" t="s">
        <v>108</v>
      </c>
      <c r="I17" s="21" t="n">
        <v>620</v>
      </c>
      <c r="J17" s="17" t="n">
        <v>5</v>
      </c>
    </row>
    <row r="18" customFormat="false" ht="26.25" hidden="false" customHeight="true" outlineLevel="0" collapsed="false">
      <c r="A18" s="17" t="s">
        <v>588</v>
      </c>
      <c r="B18" s="20" t="n">
        <v>46050</v>
      </c>
      <c r="C18" s="17" t="s">
        <v>207</v>
      </c>
      <c r="D18" s="17" t="s">
        <v>385</v>
      </c>
      <c r="E18" s="17" t="s">
        <v>512</v>
      </c>
      <c r="F18" s="8" t="s">
        <v>567</v>
      </c>
      <c r="G18" s="17" t="s">
        <v>575</v>
      </c>
      <c r="H18" s="17" t="s">
        <v>589</v>
      </c>
      <c r="I18" s="21" t="n">
        <v>1800</v>
      </c>
      <c r="J18" s="17"/>
    </row>
    <row r="19" customFormat="false" ht="26.25" hidden="false" customHeight="true" outlineLevel="0" collapsed="false">
      <c r="A19" s="17" t="s">
        <v>590</v>
      </c>
      <c r="B19" s="20" t="n">
        <v>46135</v>
      </c>
      <c r="C19" s="17" t="s">
        <v>184</v>
      </c>
      <c r="D19" s="17" t="s">
        <v>330</v>
      </c>
      <c r="E19" s="17" t="s">
        <v>510</v>
      </c>
      <c r="F19" s="8" t="s">
        <v>564</v>
      </c>
      <c r="G19" s="17" t="s">
        <v>571</v>
      </c>
      <c r="H19" s="17" t="s">
        <v>113</v>
      </c>
      <c r="I19" s="21" t="n">
        <v>850</v>
      </c>
      <c r="J19" s="17"/>
    </row>
    <row r="20" customFormat="false" ht="26.25" hidden="false" customHeight="true" outlineLevel="0" collapsed="false">
      <c r="A20" s="17" t="s">
        <v>591</v>
      </c>
      <c r="B20" s="20" t="n">
        <v>46035</v>
      </c>
      <c r="C20" s="17" t="s">
        <v>208</v>
      </c>
      <c r="D20" s="17" t="s">
        <v>393</v>
      </c>
      <c r="E20" s="17" t="s">
        <v>500</v>
      </c>
      <c r="F20" s="8" t="s">
        <v>573</v>
      </c>
      <c r="G20" s="17" t="s">
        <v>565</v>
      </c>
      <c r="H20" s="17" t="s">
        <v>108</v>
      </c>
      <c r="I20" s="21" t="n">
        <v>850</v>
      </c>
      <c r="J20" s="17" t="n">
        <v>0</v>
      </c>
    </row>
    <row r="21" customFormat="false" ht="26.25" hidden="false" customHeight="true" outlineLevel="0" collapsed="false">
      <c r="A21" s="17" t="s">
        <v>592</v>
      </c>
      <c r="B21" s="20" t="n">
        <v>46048</v>
      </c>
      <c r="C21" s="17" t="s">
        <v>194</v>
      </c>
      <c r="D21" s="17" t="s">
        <v>359</v>
      </c>
      <c r="E21" s="17" t="s">
        <v>508</v>
      </c>
      <c r="F21" s="8" t="s">
        <v>579</v>
      </c>
      <c r="G21" s="17" t="s">
        <v>568</v>
      </c>
      <c r="H21" s="17" t="s">
        <v>108</v>
      </c>
      <c r="I21" s="21" t="n">
        <v>2600</v>
      </c>
      <c r="J21" s="17" t="n">
        <v>5</v>
      </c>
    </row>
    <row r="22" customFormat="false" ht="26.25" hidden="false" customHeight="true" outlineLevel="0" collapsed="false">
      <c r="A22" s="17" t="s">
        <v>593</v>
      </c>
      <c r="B22" s="20" t="n">
        <v>46106</v>
      </c>
      <c r="C22" s="17" t="s">
        <v>198</v>
      </c>
      <c r="D22" s="17" t="s">
        <v>361</v>
      </c>
      <c r="E22" s="17" t="s">
        <v>514</v>
      </c>
      <c r="F22" s="8" t="s">
        <v>564</v>
      </c>
      <c r="G22" s="17" t="s">
        <v>568</v>
      </c>
      <c r="H22" s="17" t="s">
        <v>576</v>
      </c>
      <c r="I22" s="21" t="n">
        <v>480</v>
      </c>
      <c r="J22" s="17"/>
    </row>
    <row r="23" customFormat="false" ht="26.25" hidden="false" customHeight="true" outlineLevel="0" collapsed="false">
      <c r="A23" s="17" t="s">
        <v>594</v>
      </c>
      <c r="B23" s="20" t="n">
        <v>46038</v>
      </c>
      <c r="C23" s="17" t="s">
        <v>234</v>
      </c>
      <c r="D23" s="17" t="s">
        <v>456</v>
      </c>
      <c r="E23" s="17" t="s">
        <v>506</v>
      </c>
      <c r="F23" s="8" t="s">
        <v>573</v>
      </c>
      <c r="G23" s="17" t="s">
        <v>568</v>
      </c>
      <c r="H23" s="17" t="s">
        <v>113</v>
      </c>
      <c r="I23" s="21" t="n">
        <v>340</v>
      </c>
      <c r="J23" s="17"/>
    </row>
    <row r="24" customFormat="false" ht="26.25" hidden="false" customHeight="true" outlineLevel="0" collapsed="false">
      <c r="A24" s="17" t="s">
        <v>595</v>
      </c>
      <c r="B24" s="20" t="n">
        <v>46093</v>
      </c>
      <c r="C24" s="17" t="s">
        <v>213</v>
      </c>
      <c r="D24" s="17" t="s">
        <v>408</v>
      </c>
      <c r="E24" s="17" t="s">
        <v>506</v>
      </c>
      <c r="F24" s="8" t="s">
        <v>579</v>
      </c>
      <c r="G24" s="17" t="s">
        <v>571</v>
      </c>
      <c r="H24" s="17" t="s">
        <v>108</v>
      </c>
      <c r="I24" s="21" t="n">
        <v>850</v>
      </c>
      <c r="J24" s="17" t="n">
        <v>7</v>
      </c>
    </row>
    <row r="25" customFormat="false" ht="26.25" hidden="false" customHeight="true" outlineLevel="0" collapsed="false">
      <c r="A25" s="17" t="s">
        <v>596</v>
      </c>
      <c r="B25" s="20" t="n">
        <v>46070</v>
      </c>
      <c r="C25" s="17" t="s">
        <v>204</v>
      </c>
      <c r="D25" s="17" t="s">
        <v>383</v>
      </c>
      <c r="E25" s="17" t="s">
        <v>510</v>
      </c>
      <c r="F25" s="8" t="s">
        <v>570</v>
      </c>
      <c r="G25" s="17" t="s">
        <v>575</v>
      </c>
      <c r="H25" s="17" t="s">
        <v>113</v>
      </c>
      <c r="I25" s="21" t="n">
        <v>850</v>
      </c>
      <c r="J25" s="17"/>
    </row>
    <row r="26" customFormat="false" ht="26.25" hidden="false" customHeight="true" outlineLevel="0" collapsed="false">
      <c r="A26" s="17" t="s">
        <v>597</v>
      </c>
      <c r="B26" s="20" t="n">
        <v>46118</v>
      </c>
      <c r="C26" s="17" t="s">
        <v>198</v>
      </c>
      <c r="D26" s="17" t="s">
        <v>362</v>
      </c>
      <c r="E26" s="17" t="s">
        <v>506</v>
      </c>
      <c r="F26" s="8" t="s">
        <v>573</v>
      </c>
      <c r="G26" s="17" t="s">
        <v>568</v>
      </c>
      <c r="H26" s="17" t="s">
        <v>108</v>
      </c>
      <c r="I26" s="21" t="n">
        <v>1200</v>
      </c>
      <c r="J26" s="17" t="n">
        <v>3</v>
      </c>
    </row>
    <row r="27" customFormat="false" ht="26.25" hidden="false" customHeight="true" outlineLevel="0" collapsed="false">
      <c r="A27" s="17" t="s">
        <v>598</v>
      </c>
      <c r="B27" s="20" t="n">
        <v>46029</v>
      </c>
      <c r="C27" s="17" t="s">
        <v>245</v>
      </c>
      <c r="D27" s="17" t="s">
        <v>488</v>
      </c>
      <c r="E27" s="17" t="s">
        <v>500</v>
      </c>
      <c r="F27" s="8" t="s">
        <v>570</v>
      </c>
      <c r="G27" s="17" t="s">
        <v>571</v>
      </c>
      <c r="H27" s="17" t="s">
        <v>108</v>
      </c>
      <c r="I27" s="21" t="n">
        <v>2600</v>
      </c>
      <c r="J27" s="17" t="n">
        <v>5</v>
      </c>
    </row>
    <row r="28" customFormat="false" ht="26.25" hidden="false" customHeight="true" outlineLevel="0" collapsed="false">
      <c r="A28" s="17" t="s">
        <v>599</v>
      </c>
      <c r="B28" s="20" t="n">
        <v>46120</v>
      </c>
      <c r="C28" s="17" t="s">
        <v>240</v>
      </c>
      <c r="D28" s="17" t="s">
        <v>473</v>
      </c>
      <c r="E28" s="17" t="s">
        <v>512</v>
      </c>
      <c r="F28" s="8" t="s">
        <v>570</v>
      </c>
      <c r="G28" s="17" t="s">
        <v>575</v>
      </c>
      <c r="H28" s="17" t="s">
        <v>105</v>
      </c>
      <c r="I28" s="21" t="n">
        <v>480</v>
      </c>
      <c r="J28" s="17"/>
    </row>
    <row r="29" customFormat="false" ht="26.25" hidden="false" customHeight="true" outlineLevel="0" collapsed="false">
      <c r="A29" s="17" t="s">
        <v>600</v>
      </c>
      <c r="B29" s="20" t="n">
        <v>46071</v>
      </c>
      <c r="C29" s="17" t="s">
        <v>184</v>
      </c>
      <c r="D29" s="17" t="s">
        <v>334</v>
      </c>
      <c r="E29" s="17" t="s">
        <v>506</v>
      </c>
      <c r="F29" s="8" t="s">
        <v>601</v>
      </c>
      <c r="G29" s="17" t="s">
        <v>571</v>
      </c>
      <c r="H29" s="17" t="s">
        <v>113</v>
      </c>
      <c r="I29" s="21" t="n">
        <v>2600</v>
      </c>
      <c r="J29" s="17"/>
    </row>
    <row r="30" customFormat="false" ht="26.25" hidden="false" customHeight="true" outlineLevel="0" collapsed="false">
      <c r="A30" s="17" t="s">
        <v>602</v>
      </c>
      <c r="B30" s="20" t="n">
        <v>46061</v>
      </c>
      <c r="C30" s="17" t="s">
        <v>231</v>
      </c>
      <c r="D30" s="17" t="s">
        <v>446</v>
      </c>
      <c r="E30" s="17" t="s">
        <v>506</v>
      </c>
      <c r="F30" s="8" t="s">
        <v>564</v>
      </c>
      <c r="G30" s="17" t="s">
        <v>565</v>
      </c>
      <c r="H30" s="17" t="s">
        <v>105</v>
      </c>
      <c r="I30" s="21" t="n">
        <v>620</v>
      </c>
      <c r="J30" s="17"/>
    </row>
    <row r="31" customFormat="false" ht="26.25" hidden="false" customHeight="true" outlineLevel="0" collapsed="false">
      <c r="A31" s="17" t="s">
        <v>603</v>
      </c>
      <c r="B31" s="20" t="n">
        <v>46045</v>
      </c>
      <c r="C31" s="17" t="s">
        <v>198</v>
      </c>
      <c r="D31" s="17" t="s">
        <v>361</v>
      </c>
      <c r="E31" s="17" t="s">
        <v>514</v>
      </c>
      <c r="F31" s="8" t="s">
        <v>573</v>
      </c>
      <c r="G31" s="17" t="s">
        <v>571</v>
      </c>
      <c r="H31" s="17" t="s">
        <v>105</v>
      </c>
      <c r="I31" s="21" t="n">
        <v>1800</v>
      </c>
      <c r="J31" s="17"/>
    </row>
    <row r="32" customFormat="false" ht="26.25" hidden="false" customHeight="true" outlineLevel="0" collapsed="false">
      <c r="A32" s="17" t="s">
        <v>604</v>
      </c>
      <c r="B32" s="20" t="n">
        <v>46099</v>
      </c>
      <c r="C32" s="17" t="s">
        <v>198</v>
      </c>
      <c r="D32" s="17" t="s">
        <v>367</v>
      </c>
      <c r="E32" s="17" t="s">
        <v>508</v>
      </c>
      <c r="F32" s="8" t="s">
        <v>573</v>
      </c>
      <c r="G32" s="17" t="s">
        <v>571</v>
      </c>
      <c r="H32" s="17" t="s">
        <v>108</v>
      </c>
      <c r="I32" s="21" t="n">
        <v>1800</v>
      </c>
      <c r="J32" s="17" t="n">
        <v>4</v>
      </c>
    </row>
    <row r="33" customFormat="false" ht="26.25" hidden="false" customHeight="true" outlineLevel="0" collapsed="false">
      <c r="A33" s="17" t="s">
        <v>605</v>
      </c>
      <c r="B33" s="20" t="n">
        <v>46117</v>
      </c>
      <c r="C33" s="17" t="s">
        <v>234</v>
      </c>
      <c r="D33" s="17" t="s">
        <v>454</v>
      </c>
      <c r="E33" s="17" t="s">
        <v>500</v>
      </c>
      <c r="F33" s="8" t="s">
        <v>570</v>
      </c>
      <c r="G33" s="17" t="s">
        <v>571</v>
      </c>
      <c r="H33" s="17" t="s">
        <v>108</v>
      </c>
      <c r="I33" s="21" t="n">
        <v>480</v>
      </c>
      <c r="J33" s="17" t="n">
        <v>4</v>
      </c>
    </row>
    <row r="34" customFormat="false" ht="26.25" hidden="false" customHeight="true" outlineLevel="0" collapsed="false">
      <c r="A34" s="17" t="s">
        <v>606</v>
      </c>
      <c r="B34" s="20" t="n">
        <v>46116</v>
      </c>
      <c r="C34" s="17" t="s">
        <v>237</v>
      </c>
      <c r="D34" s="17" t="s">
        <v>459</v>
      </c>
      <c r="E34" s="17" t="s">
        <v>504</v>
      </c>
      <c r="F34" s="8" t="s">
        <v>579</v>
      </c>
      <c r="G34" s="17" t="s">
        <v>571</v>
      </c>
      <c r="H34" s="17" t="s">
        <v>108</v>
      </c>
      <c r="I34" s="21" t="n">
        <v>620</v>
      </c>
      <c r="J34" s="17" t="n">
        <v>7</v>
      </c>
    </row>
    <row r="35" customFormat="false" ht="26.25" hidden="false" customHeight="true" outlineLevel="0" collapsed="false">
      <c r="A35" s="17" t="s">
        <v>607</v>
      </c>
      <c r="B35" s="20" t="n">
        <v>46069</v>
      </c>
      <c r="C35" s="17" t="s">
        <v>211</v>
      </c>
      <c r="D35" s="17" t="s">
        <v>399</v>
      </c>
      <c r="E35" s="17" t="s">
        <v>502</v>
      </c>
      <c r="F35" s="8" t="s">
        <v>579</v>
      </c>
      <c r="G35" s="17" t="s">
        <v>571</v>
      </c>
      <c r="H35" s="17" t="s">
        <v>108</v>
      </c>
      <c r="I35" s="21" t="n">
        <v>340</v>
      </c>
      <c r="J35" s="17" t="n">
        <v>4</v>
      </c>
    </row>
    <row r="36" customFormat="false" ht="26.25" hidden="false" customHeight="true" outlineLevel="0" collapsed="false">
      <c r="A36" s="17" t="s">
        <v>608</v>
      </c>
      <c r="B36" s="20" t="n">
        <v>46121</v>
      </c>
      <c r="C36" s="17" t="s">
        <v>243</v>
      </c>
      <c r="D36" s="17" t="s">
        <v>479</v>
      </c>
      <c r="E36" s="17" t="s">
        <v>512</v>
      </c>
      <c r="F36" s="8" t="s">
        <v>567</v>
      </c>
      <c r="G36" s="17" t="s">
        <v>575</v>
      </c>
      <c r="H36" s="17" t="s">
        <v>108</v>
      </c>
      <c r="I36" s="21" t="n">
        <v>850</v>
      </c>
      <c r="J36" s="17" t="n">
        <v>7</v>
      </c>
    </row>
    <row r="37" customFormat="false" ht="26.25" hidden="false" customHeight="true" outlineLevel="0" collapsed="false">
      <c r="A37" s="17" t="s">
        <v>609</v>
      </c>
      <c r="B37" s="20" t="n">
        <v>46120</v>
      </c>
      <c r="C37" s="17" t="s">
        <v>157</v>
      </c>
      <c r="D37" s="17" t="s">
        <v>273</v>
      </c>
      <c r="E37" s="17" t="s">
        <v>508</v>
      </c>
      <c r="F37" s="8" t="s">
        <v>579</v>
      </c>
      <c r="G37" s="17" t="s">
        <v>575</v>
      </c>
      <c r="H37" s="17" t="s">
        <v>105</v>
      </c>
      <c r="I37" s="21" t="n">
        <v>620</v>
      </c>
      <c r="J37" s="17"/>
    </row>
    <row r="38" customFormat="false" ht="26.25" hidden="false" customHeight="true" outlineLevel="0" collapsed="false">
      <c r="A38" s="17" t="s">
        <v>610</v>
      </c>
      <c r="B38" s="20" t="n">
        <v>46089</v>
      </c>
      <c r="C38" s="17" t="s">
        <v>151</v>
      </c>
      <c r="D38" s="17" t="s">
        <v>265</v>
      </c>
      <c r="E38" s="17" t="s">
        <v>506</v>
      </c>
      <c r="F38" s="8" t="s">
        <v>567</v>
      </c>
      <c r="G38" s="17" t="s">
        <v>568</v>
      </c>
      <c r="H38" s="17" t="s">
        <v>113</v>
      </c>
      <c r="I38" s="21" t="n">
        <v>340</v>
      </c>
      <c r="J38" s="17"/>
    </row>
    <row r="39" customFormat="false" ht="26.25" hidden="false" customHeight="true" outlineLevel="0" collapsed="false">
      <c r="A39" s="17" t="s">
        <v>611</v>
      </c>
      <c r="B39" s="20" t="n">
        <v>46097</v>
      </c>
      <c r="C39" s="17" t="s">
        <v>179</v>
      </c>
      <c r="D39" s="17" t="s">
        <v>326</v>
      </c>
      <c r="E39" s="17" t="s">
        <v>504</v>
      </c>
      <c r="F39" s="8" t="s">
        <v>573</v>
      </c>
      <c r="G39" s="17" t="s">
        <v>565</v>
      </c>
      <c r="H39" s="17" t="s">
        <v>108</v>
      </c>
      <c r="I39" s="21" t="n">
        <v>340</v>
      </c>
      <c r="J39" s="17" t="n">
        <v>0</v>
      </c>
    </row>
    <row r="40" customFormat="false" ht="26.25" hidden="false" customHeight="true" outlineLevel="0" collapsed="false">
      <c r="A40" s="17" t="s">
        <v>612</v>
      </c>
      <c r="B40" s="20" t="n">
        <v>46105</v>
      </c>
      <c r="C40" s="17" t="s">
        <v>198</v>
      </c>
      <c r="D40" s="17" t="s">
        <v>362</v>
      </c>
      <c r="E40" s="17" t="s">
        <v>506</v>
      </c>
      <c r="F40" s="8" t="s">
        <v>573</v>
      </c>
      <c r="G40" s="17" t="s">
        <v>575</v>
      </c>
      <c r="H40" s="17" t="s">
        <v>113</v>
      </c>
      <c r="I40" s="21" t="n">
        <v>2600</v>
      </c>
      <c r="J40" s="17"/>
    </row>
    <row r="41" customFormat="false" ht="26.25" hidden="false" customHeight="true" outlineLevel="0" collapsed="false">
      <c r="A41" s="17" t="s">
        <v>613</v>
      </c>
      <c r="B41" s="20" t="n">
        <v>46023</v>
      </c>
      <c r="C41" s="17" t="s">
        <v>243</v>
      </c>
      <c r="D41" s="17" t="s">
        <v>480</v>
      </c>
      <c r="E41" s="17" t="s">
        <v>504</v>
      </c>
      <c r="F41" s="8" t="s">
        <v>579</v>
      </c>
      <c r="G41" s="17" t="s">
        <v>571</v>
      </c>
      <c r="H41" s="17" t="s">
        <v>108</v>
      </c>
      <c r="I41" s="21" t="n">
        <v>620</v>
      </c>
      <c r="J41" s="17" t="n">
        <v>10</v>
      </c>
    </row>
    <row r="42" customFormat="false" ht="26.25" hidden="false" customHeight="true" outlineLevel="0" collapsed="false">
      <c r="A42" s="17" t="s">
        <v>614</v>
      </c>
      <c r="B42" s="20" t="n">
        <v>46140</v>
      </c>
      <c r="C42" s="17" t="s">
        <v>245</v>
      </c>
      <c r="D42" s="17" t="s">
        <v>489</v>
      </c>
      <c r="E42" s="17" t="s">
        <v>514</v>
      </c>
      <c r="F42" s="8" t="s">
        <v>567</v>
      </c>
      <c r="G42" s="17" t="s">
        <v>571</v>
      </c>
      <c r="H42" s="17" t="s">
        <v>108</v>
      </c>
      <c r="I42" s="21" t="n">
        <v>120</v>
      </c>
      <c r="J42" s="17" t="n">
        <v>5</v>
      </c>
    </row>
    <row r="43" customFormat="false" ht="26.25" hidden="false" customHeight="true" outlineLevel="0" collapsed="false">
      <c r="A43" s="17" t="s">
        <v>615</v>
      </c>
      <c r="B43" s="20" t="n">
        <v>46131</v>
      </c>
      <c r="C43" s="17" t="s">
        <v>198</v>
      </c>
      <c r="D43" s="17" t="s">
        <v>367</v>
      </c>
      <c r="E43" s="17" t="s">
        <v>508</v>
      </c>
      <c r="F43" s="8" t="s">
        <v>579</v>
      </c>
      <c r="G43" s="17" t="s">
        <v>571</v>
      </c>
      <c r="H43" s="17" t="s">
        <v>589</v>
      </c>
      <c r="I43" s="21" t="n">
        <v>340</v>
      </c>
      <c r="J43" s="17"/>
    </row>
    <row r="44" customFormat="false" ht="26.25" hidden="false" customHeight="true" outlineLevel="0" collapsed="false">
      <c r="A44" s="17" t="s">
        <v>616</v>
      </c>
      <c r="B44" s="20" t="n">
        <v>46135</v>
      </c>
      <c r="C44" s="17" t="s">
        <v>179</v>
      </c>
      <c r="D44" s="17" t="s">
        <v>323</v>
      </c>
      <c r="E44" s="17" t="s">
        <v>502</v>
      </c>
      <c r="F44" s="8" t="s">
        <v>573</v>
      </c>
      <c r="G44" s="17" t="s">
        <v>568</v>
      </c>
      <c r="H44" s="17" t="s">
        <v>576</v>
      </c>
      <c r="I44" s="21" t="n">
        <v>1200</v>
      </c>
      <c r="J44" s="17"/>
    </row>
    <row r="45" customFormat="false" ht="26.25" hidden="false" customHeight="true" outlineLevel="0" collapsed="false">
      <c r="A45" s="17" t="s">
        <v>617</v>
      </c>
      <c r="B45" s="20" t="n">
        <v>46025</v>
      </c>
      <c r="C45" s="17" t="s">
        <v>179</v>
      </c>
      <c r="D45" s="17" t="s">
        <v>326</v>
      </c>
      <c r="E45" s="17" t="s">
        <v>504</v>
      </c>
      <c r="F45" s="8" t="s">
        <v>564</v>
      </c>
      <c r="G45" s="17" t="s">
        <v>575</v>
      </c>
      <c r="H45" s="17" t="s">
        <v>108</v>
      </c>
      <c r="I45" s="21" t="n">
        <v>620</v>
      </c>
      <c r="J45" s="17" t="n">
        <v>4</v>
      </c>
    </row>
    <row r="46" customFormat="false" ht="26.25" hidden="false" customHeight="true" outlineLevel="0" collapsed="false">
      <c r="A46" s="17" t="s">
        <v>618</v>
      </c>
      <c r="B46" s="20" t="n">
        <v>46114</v>
      </c>
      <c r="C46" s="17" t="s">
        <v>167</v>
      </c>
      <c r="D46" s="17" t="s">
        <v>291</v>
      </c>
      <c r="E46" s="17" t="s">
        <v>502</v>
      </c>
      <c r="F46" s="8" t="s">
        <v>601</v>
      </c>
      <c r="G46" s="17" t="s">
        <v>568</v>
      </c>
      <c r="H46" s="17" t="s">
        <v>113</v>
      </c>
      <c r="I46" s="21" t="n">
        <v>2600</v>
      </c>
      <c r="J46" s="17"/>
    </row>
    <row r="47" customFormat="false" ht="26.25" hidden="false" customHeight="true" outlineLevel="0" collapsed="false">
      <c r="A47" s="17" t="s">
        <v>619</v>
      </c>
      <c r="B47" s="20" t="n">
        <v>46104</v>
      </c>
      <c r="C47" s="17" t="s">
        <v>175</v>
      </c>
      <c r="D47" s="17" t="s">
        <v>311</v>
      </c>
      <c r="E47" s="17" t="s">
        <v>504</v>
      </c>
      <c r="F47" s="8" t="s">
        <v>567</v>
      </c>
      <c r="G47" s="17" t="s">
        <v>575</v>
      </c>
      <c r="H47" s="17" t="s">
        <v>108</v>
      </c>
      <c r="I47" s="21" t="n">
        <v>250</v>
      </c>
      <c r="J47" s="17" t="n">
        <v>9</v>
      </c>
    </row>
    <row r="48" customFormat="false" ht="26.25" hidden="false" customHeight="true" outlineLevel="0" collapsed="false">
      <c r="A48" s="17" t="s">
        <v>620</v>
      </c>
      <c r="B48" s="20" t="n">
        <v>46136</v>
      </c>
      <c r="C48" s="17" t="s">
        <v>157</v>
      </c>
      <c r="D48" s="17" t="s">
        <v>280</v>
      </c>
      <c r="E48" s="17" t="s">
        <v>502</v>
      </c>
      <c r="F48" s="8" t="s">
        <v>601</v>
      </c>
      <c r="G48" s="17" t="s">
        <v>575</v>
      </c>
      <c r="H48" s="17" t="s">
        <v>108</v>
      </c>
      <c r="I48" s="21" t="n">
        <v>85</v>
      </c>
      <c r="J48" s="17" t="n">
        <v>4</v>
      </c>
    </row>
    <row r="49" customFormat="false" ht="26.25" hidden="false" customHeight="true" outlineLevel="0" collapsed="false">
      <c r="A49" s="17" t="s">
        <v>621</v>
      </c>
      <c r="B49" s="20" t="n">
        <v>46103</v>
      </c>
      <c r="C49" s="17" t="s">
        <v>211</v>
      </c>
      <c r="D49" s="17" t="s">
        <v>400</v>
      </c>
      <c r="E49" s="17" t="s">
        <v>500</v>
      </c>
      <c r="F49" s="8" t="s">
        <v>573</v>
      </c>
      <c r="G49" s="17" t="s">
        <v>571</v>
      </c>
      <c r="H49" s="17" t="s">
        <v>113</v>
      </c>
      <c r="I49" s="21" t="n">
        <v>2600</v>
      </c>
      <c r="J49" s="17"/>
    </row>
    <row r="50" customFormat="false" ht="26.25" hidden="false" customHeight="true" outlineLevel="0" collapsed="false">
      <c r="A50" s="17" t="s">
        <v>622</v>
      </c>
      <c r="B50" s="20" t="n">
        <v>46076</v>
      </c>
      <c r="C50" s="17" t="s">
        <v>207</v>
      </c>
      <c r="D50" s="17" t="s">
        <v>385</v>
      </c>
      <c r="E50" s="17" t="s">
        <v>512</v>
      </c>
      <c r="F50" s="8" t="s">
        <v>579</v>
      </c>
      <c r="G50" s="17" t="s">
        <v>575</v>
      </c>
      <c r="H50" s="17" t="s">
        <v>108</v>
      </c>
      <c r="I50" s="21" t="n">
        <v>1800</v>
      </c>
      <c r="J50" s="17" t="n">
        <v>11</v>
      </c>
    </row>
    <row r="51" customFormat="false" ht="26.25" hidden="false" customHeight="true" outlineLevel="0" collapsed="false">
      <c r="A51" s="17" t="s">
        <v>623</v>
      </c>
      <c r="B51" s="20" t="n">
        <v>46040</v>
      </c>
      <c r="C51" s="17" t="s">
        <v>192</v>
      </c>
      <c r="D51" s="17" t="s">
        <v>345</v>
      </c>
      <c r="E51" s="17" t="s">
        <v>502</v>
      </c>
      <c r="F51" s="8" t="s">
        <v>570</v>
      </c>
      <c r="G51" s="17" t="s">
        <v>575</v>
      </c>
      <c r="H51" s="17" t="s">
        <v>108</v>
      </c>
      <c r="I51" s="21" t="n">
        <v>850</v>
      </c>
      <c r="J51" s="17" t="n">
        <v>11</v>
      </c>
    </row>
    <row r="52" customFormat="false" ht="26.25" hidden="false" customHeight="true" outlineLevel="0" collapsed="false">
      <c r="A52" s="17" t="s">
        <v>624</v>
      </c>
      <c r="B52" s="20" t="n">
        <v>46058</v>
      </c>
      <c r="C52" s="17" t="s">
        <v>243</v>
      </c>
      <c r="D52" s="17" t="s">
        <v>478</v>
      </c>
      <c r="E52" s="17" t="s">
        <v>510</v>
      </c>
      <c r="F52" s="8" t="s">
        <v>564</v>
      </c>
      <c r="G52" s="17" t="s">
        <v>575</v>
      </c>
      <c r="H52" s="17" t="s">
        <v>113</v>
      </c>
      <c r="I52" s="21" t="n">
        <v>1800</v>
      </c>
      <c r="J52" s="17"/>
    </row>
    <row r="53" customFormat="false" ht="26.25" hidden="false" customHeight="true" outlineLevel="0" collapsed="false">
      <c r="A53" s="17" t="s">
        <v>625</v>
      </c>
      <c r="B53" s="20" t="n">
        <v>46050</v>
      </c>
      <c r="C53" s="17" t="s">
        <v>237</v>
      </c>
      <c r="D53" s="17" t="s">
        <v>460</v>
      </c>
      <c r="E53" s="17" t="s">
        <v>506</v>
      </c>
      <c r="F53" s="8" t="s">
        <v>601</v>
      </c>
      <c r="G53" s="17" t="s">
        <v>571</v>
      </c>
      <c r="H53" s="17" t="s">
        <v>589</v>
      </c>
      <c r="I53" s="21" t="n">
        <v>620</v>
      </c>
      <c r="J53" s="17"/>
    </row>
    <row r="54" customFormat="false" ht="26.25" hidden="false" customHeight="true" outlineLevel="0" collapsed="false">
      <c r="A54" s="17" t="s">
        <v>626</v>
      </c>
      <c r="B54" s="20" t="n">
        <v>46085</v>
      </c>
      <c r="C54" s="17" t="s">
        <v>213</v>
      </c>
      <c r="D54" s="17" t="s">
        <v>408</v>
      </c>
      <c r="E54" s="17" t="s">
        <v>506</v>
      </c>
      <c r="F54" s="8" t="s">
        <v>573</v>
      </c>
      <c r="G54" s="17" t="s">
        <v>575</v>
      </c>
      <c r="H54" s="17" t="s">
        <v>108</v>
      </c>
      <c r="I54" s="21" t="n">
        <v>250</v>
      </c>
      <c r="J54" s="17" t="n">
        <v>3</v>
      </c>
    </row>
    <row r="55" customFormat="false" ht="26.25" hidden="false" customHeight="true" outlineLevel="0" collapsed="false">
      <c r="A55" s="17" t="s">
        <v>627</v>
      </c>
      <c r="B55" s="20" t="n">
        <v>46044</v>
      </c>
      <c r="C55" s="17" t="s">
        <v>243</v>
      </c>
      <c r="D55" s="17" t="s">
        <v>481</v>
      </c>
      <c r="E55" s="17" t="s">
        <v>500</v>
      </c>
      <c r="F55" s="8" t="s">
        <v>567</v>
      </c>
      <c r="G55" s="17" t="s">
        <v>568</v>
      </c>
      <c r="H55" s="17" t="s">
        <v>105</v>
      </c>
      <c r="I55" s="21" t="n">
        <v>1800</v>
      </c>
      <c r="J55" s="17"/>
    </row>
    <row r="56" customFormat="false" ht="26.25" hidden="false" customHeight="true" outlineLevel="0" collapsed="false">
      <c r="A56" s="17" t="s">
        <v>628</v>
      </c>
      <c r="B56" s="20" t="n">
        <v>46063</v>
      </c>
      <c r="C56" s="17" t="s">
        <v>207</v>
      </c>
      <c r="D56" s="17" t="s">
        <v>386</v>
      </c>
      <c r="E56" s="17" t="s">
        <v>510</v>
      </c>
      <c r="F56" s="8" t="s">
        <v>579</v>
      </c>
      <c r="G56" s="17" t="s">
        <v>565</v>
      </c>
      <c r="H56" s="17" t="s">
        <v>108</v>
      </c>
      <c r="I56" s="21" t="n">
        <v>480</v>
      </c>
      <c r="J56" s="17" t="n">
        <v>2</v>
      </c>
    </row>
    <row r="57" customFormat="false" ht="26.25" hidden="false" customHeight="true" outlineLevel="0" collapsed="false">
      <c r="A57" s="17" t="s">
        <v>629</v>
      </c>
      <c r="B57" s="20" t="n">
        <v>46140</v>
      </c>
      <c r="C57" s="17" t="s">
        <v>234</v>
      </c>
      <c r="D57" s="17" t="s">
        <v>455</v>
      </c>
      <c r="E57" s="17" t="s">
        <v>504</v>
      </c>
      <c r="F57" s="8" t="s">
        <v>579</v>
      </c>
      <c r="G57" s="17" t="s">
        <v>571</v>
      </c>
      <c r="H57" s="17" t="s">
        <v>108</v>
      </c>
      <c r="I57" s="21" t="n">
        <v>620</v>
      </c>
      <c r="J57" s="17" t="n">
        <v>5</v>
      </c>
    </row>
    <row r="58" customFormat="false" ht="26.25" hidden="false" customHeight="true" outlineLevel="0" collapsed="false">
      <c r="A58" s="17" t="s">
        <v>630</v>
      </c>
      <c r="B58" s="20" t="n">
        <v>46024</v>
      </c>
      <c r="C58" s="17" t="s">
        <v>167</v>
      </c>
      <c r="D58" s="17" t="s">
        <v>288</v>
      </c>
      <c r="E58" s="17" t="s">
        <v>500</v>
      </c>
      <c r="F58" s="8" t="s">
        <v>570</v>
      </c>
      <c r="G58" s="17" t="s">
        <v>575</v>
      </c>
      <c r="H58" s="17" t="s">
        <v>105</v>
      </c>
      <c r="I58" s="21" t="n">
        <v>850</v>
      </c>
      <c r="J58" s="17"/>
    </row>
    <row r="59" customFormat="false" ht="26.25" hidden="false" customHeight="true" outlineLevel="0" collapsed="false">
      <c r="A59" s="17" t="s">
        <v>631</v>
      </c>
      <c r="B59" s="20" t="n">
        <v>46036</v>
      </c>
      <c r="C59" s="17" t="s">
        <v>237</v>
      </c>
      <c r="D59" s="17" t="s">
        <v>459</v>
      </c>
      <c r="E59" s="17" t="s">
        <v>504</v>
      </c>
      <c r="F59" s="8" t="s">
        <v>567</v>
      </c>
      <c r="G59" s="17" t="s">
        <v>571</v>
      </c>
      <c r="H59" s="17" t="s">
        <v>108</v>
      </c>
      <c r="I59" s="21" t="n">
        <v>120</v>
      </c>
      <c r="J59" s="17" t="n">
        <v>7</v>
      </c>
    </row>
    <row r="60" customFormat="false" ht="26.25" hidden="false" customHeight="true" outlineLevel="0" collapsed="false">
      <c r="A60" s="17" t="s">
        <v>632</v>
      </c>
      <c r="B60" s="20" t="n">
        <v>46056</v>
      </c>
      <c r="C60" s="17" t="s">
        <v>188</v>
      </c>
      <c r="D60" s="17" t="s">
        <v>338</v>
      </c>
      <c r="E60" s="17" t="s">
        <v>510</v>
      </c>
      <c r="F60" s="8" t="s">
        <v>579</v>
      </c>
      <c r="G60" s="17" t="s">
        <v>568</v>
      </c>
      <c r="H60" s="17" t="s">
        <v>108</v>
      </c>
      <c r="I60" s="21" t="n">
        <v>120</v>
      </c>
      <c r="J60" s="17" t="n">
        <v>5</v>
      </c>
    </row>
    <row r="61" customFormat="false" ht="26.25" hidden="false" customHeight="true" outlineLevel="0" collapsed="false">
      <c r="A61" s="17" t="s">
        <v>633</v>
      </c>
      <c r="B61" s="20" t="n">
        <v>46103</v>
      </c>
      <c r="C61" s="17" t="s">
        <v>198</v>
      </c>
      <c r="D61" s="17" t="s">
        <v>361</v>
      </c>
      <c r="E61" s="17" t="s">
        <v>514</v>
      </c>
      <c r="F61" s="8" t="s">
        <v>570</v>
      </c>
      <c r="G61" s="17" t="s">
        <v>575</v>
      </c>
      <c r="H61" s="17" t="s">
        <v>108</v>
      </c>
      <c r="I61" s="21" t="n">
        <v>85</v>
      </c>
      <c r="J61" s="17" t="n">
        <v>8</v>
      </c>
    </row>
    <row r="62" customFormat="false" ht="26.25" hidden="false" customHeight="true" outlineLevel="0" collapsed="false">
      <c r="A62" s="17" t="s">
        <v>634</v>
      </c>
      <c r="B62" s="20" t="n">
        <v>46140</v>
      </c>
      <c r="C62" s="17" t="s">
        <v>237</v>
      </c>
      <c r="D62" s="17" t="s">
        <v>462</v>
      </c>
      <c r="E62" s="17" t="s">
        <v>514</v>
      </c>
      <c r="F62" s="8" t="s">
        <v>570</v>
      </c>
      <c r="G62" s="17" t="s">
        <v>575</v>
      </c>
      <c r="H62" s="17" t="s">
        <v>108</v>
      </c>
      <c r="I62" s="21" t="n">
        <v>180</v>
      </c>
      <c r="J62" s="17" t="n">
        <v>7</v>
      </c>
    </row>
    <row r="63" customFormat="false" ht="26.25" hidden="false" customHeight="true" outlineLevel="0" collapsed="false">
      <c r="A63" s="17" t="s">
        <v>635</v>
      </c>
      <c r="B63" s="20" t="n">
        <v>46041</v>
      </c>
      <c r="C63" s="17" t="s">
        <v>157</v>
      </c>
      <c r="D63" s="17" t="s">
        <v>276</v>
      </c>
      <c r="E63" s="17" t="s">
        <v>508</v>
      </c>
      <c r="F63" s="8" t="s">
        <v>570</v>
      </c>
      <c r="G63" s="17" t="s">
        <v>568</v>
      </c>
      <c r="H63" s="17" t="s">
        <v>108</v>
      </c>
      <c r="I63" s="21" t="n">
        <v>180</v>
      </c>
      <c r="J63" s="17" t="n">
        <v>6</v>
      </c>
    </row>
    <row r="64" customFormat="false" ht="26.25" hidden="false" customHeight="true" outlineLevel="0" collapsed="false">
      <c r="A64" s="17" t="s">
        <v>636</v>
      </c>
      <c r="B64" s="20" t="n">
        <v>46084</v>
      </c>
      <c r="C64" s="17" t="s">
        <v>216</v>
      </c>
      <c r="D64" s="17" t="s">
        <v>409</v>
      </c>
      <c r="E64" s="17" t="s">
        <v>500</v>
      </c>
      <c r="F64" s="8" t="s">
        <v>564</v>
      </c>
      <c r="G64" s="17" t="s">
        <v>565</v>
      </c>
      <c r="H64" s="17" t="s">
        <v>589</v>
      </c>
      <c r="I64" s="21" t="n">
        <v>250</v>
      </c>
      <c r="J64" s="17"/>
    </row>
    <row r="65" customFormat="false" ht="26.25" hidden="false" customHeight="true" outlineLevel="0" collapsed="false">
      <c r="A65" s="17" t="s">
        <v>637</v>
      </c>
      <c r="B65" s="20" t="n">
        <v>46043</v>
      </c>
      <c r="C65" s="17" t="s">
        <v>184</v>
      </c>
      <c r="D65" s="17" t="s">
        <v>331</v>
      </c>
      <c r="E65" s="17" t="s">
        <v>512</v>
      </c>
      <c r="F65" s="8" t="s">
        <v>573</v>
      </c>
      <c r="G65" s="17" t="s">
        <v>571</v>
      </c>
      <c r="H65" s="17" t="s">
        <v>576</v>
      </c>
      <c r="I65" s="21" t="n">
        <v>85</v>
      </c>
      <c r="J65" s="17"/>
    </row>
    <row r="66" customFormat="false" ht="26.25" hidden="false" customHeight="true" outlineLevel="0" collapsed="false">
      <c r="A66" s="17" t="s">
        <v>638</v>
      </c>
      <c r="B66" s="20" t="n">
        <v>46137</v>
      </c>
      <c r="C66" s="17" t="s">
        <v>213</v>
      </c>
      <c r="D66" s="17" t="s">
        <v>408</v>
      </c>
      <c r="E66" s="17" t="s">
        <v>506</v>
      </c>
      <c r="F66" s="8" t="s">
        <v>564</v>
      </c>
      <c r="G66" s="17" t="s">
        <v>571</v>
      </c>
      <c r="H66" s="17" t="s">
        <v>105</v>
      </c>
      <c r="I66" s="21" t="n">
        <v>1200</v>
      </c>
      <c r="J66" s="17"/>
    </row>
    <row r="67" customFormat="false" ht="26.25" hidden="false" customHeight="true" outlineLevel="0" collapsed="false">
      <c r="A67" s="17" t="s">
        <v>639</v>
      </c>
      <c r="B67" s="20" t="n">
        <v>46045</v>
      </c>
      <c r="C67" s="17" t="s">
        <v>223</v>
      </c>
      <c r="D67" s="17" t="s">
        <v>422</v>
      </c>
      <c r="E67" s="17" t="s">
        <v>512</v>
      </c>
      <c r="F67" s="8" t="s">
        <v>601</v>
      </c>
      <c r="G67" s="17" t="s">
        <v>575</v>
      </c>
      <c r="H67" s="17" t="s">
        <v>108</v>
      </c>
      <c r="I67" s="21" t="n">
        <v>250</v>
      </c>
      <c r="J67" s="17" t="n">
        <v>4</v>
      </c>
    </row>
    <row r="68" customFormat="false" ht="26.25" hidden="false" customHeight="true" outlineLevel="0" collapsed="false">
      <c r="A68" s="17" t="s">
        <v>640</v>
      </c>
      <c r="B68" s="20" t="n">
        <v>46125</v>
      </c>
      <c r="C68" s="17" t="s">
        <v>234</v>
      </c>
      <c r="D68" s="17" t="s">
        <v>454</v>
      </c>
      <c r="E68" s="17" t="s">
        <v>500</v>
      </c>
      <c r="F68" s="8" t="s">
        <v>601</v>
      </c>
      <c r="G68" s="17" t="s">
        <v>575</v>
      </c>
      <c r="H68" s="17" t="s">
        <v>108</v>
      </c>
      <c r="I68" s="21" t="n">
        <v>85</v>
      </c>
      <c r="J68" s="17" t="n">
        <v>10</v>
      </c>
    </row>
    <row r="69" customFormat="false" ht="26.25" hidden="false" customHeight="true" outlineLevel="0" collapsed="false">
      <c r="A69" s="17" t="s">
        <v>641</v>
      </c>
      <c r="B69" s="20" t="n">
        <v>46119</v>
      </c>
      <c r="C69" s="17" t="s">
        <v>188</v>
      </c>
      <c r="D69" s="17" t="s">
        <v>338</v>
      </c>
      <c r="E69" s="17" t="s">
        <v>510</v>
      </c>
      <c r="F69" s="8" t="s">
        <v>573</v>
      </c>
      <c r="G69" s="17" t="s">
        <v>575</v>
      </c>
      <c r="H69" s="17" t="s">
        <v>108</v>
      </c>
      <c r="I69" s="21" t="n">
        <v>1800</v>
      </c>
      <c r="J69" s="17" t="n">
        <v>4</v>
      </c>
    </row>
    <row r="70" customFormat="false" ht="26.25" hidden="false" customHeight="true" outlineLevel="0" collapsed="false">
      <c r="A70" s="17" t="s">
        <v>642</v>
      </c>
      <c r="B70" s="20" t="n">
        <v>46037</v>
      </c>
      <c r="C70" s="17" t="s">
        <v>167</v>
      </c>
      <c r="D70" s="17" t="s">
        <v>294</v>
      </c>
      <c r="E70" s="17" t="s">
        <v>506</v>
      </c>
      <c r="F70" s="8" t="s">
        <v>573</v>
      </c>
      <c r="G70" s="17" t="s">
        <v>571</v>
      </c>
      <c r="H70" s="17" t="s">
        <v>589</v>
      </c>
      <c r="I70" s="21" t="n">
        <v>620</v>
      </c>
      <c r="J70" s="17"/>
    </row>
    <row r="71" customFormat="false" ht="26.25" hidden="false" customHeight="true" outlineLevel="0" collapsed="false">
      <c r="A71" s="17" t="s">
        <v>643</v>
      </c>
      <c r="B71" s="20" t="n">
        <v>46047</v>
      </c>
      <c r="C71" s="17" t="s">
        <v>223</v>
      </c>
      <c r="D71" s="17" t="s">
        <v>423</v>
      </c>
      <c r="E71" s="17" t="s">
        <v>514</v>
      </c>
      <c r="F71" s="8" t="s">
        <v>579</v>
      </c>
      <c r="G71" s="17" t="s">
        <v>568</v>
      </c>
      <c r="H71" s="17" t="s">
        <v>108</v>
      </c>
      <c r="I71" s="21" t="n">
        <v>340</v>
      </c>
      <c r="J71" s="17" t="n">
        <v>1</v>
      </c>
    </row>
    <row r="72" customFormat="false" ht="26.25" hidden="false" customHeight="true" outlineLevel="0" collapsed="false">
      <c r="A72" s="17" t="s">
        <v>644</v>
      </c>
      <c r="B72" s="20" t="n">
        <v>46108</v>
      </c>
      <c r="C72" s="17" t="s">
        <v>219</v>
      </c>
      <c r="D72" s="17" t="s">
        <v>413</v>
      </c>
      <c r="E72" s="17" t="s">
        <v>514</v>
      </c>
      <c r="F72" s="8" t="s">
        <v>567</v>
      </c>
      <c r="G72" s="17" t="s">
        <v>571</v>
      </c>
      <c r="H72" s="17" t="s">
        <v>105</v>
      </c>
      <c r="I72" s="21" t="n">
        <v>120</v>
      </c>
      <c r="J72" s="17"/>
    </row>
    <row r="73" customFormat="false" ht="26.25" hidden="false" customHeight="true" outlineLevel="0" collapsed="false">
      <c r="A73" s="17" t="s">
        <v>645</v>
      </c>
      <c r="B73" s="20" t="n">
        <v>46048</v>
      </c>
      <c r="C73" s="17" t="s">
        <v>216</v>
      </c>
      <c r="D73" s="17" t="s">
        <v>410</v>
      </c>
      <c r="E73" s="17" t="s">
        <v>506</v>
      </c>
      <c r="F73" s="8" t="s">
        <v>567</v>
      </c>
      <c r="G73" s="17" t="s">
        <v>565</v>
      </c>
      <c r="H73" s="17" t="s">
        <v>108</v>
      </c>
      <c r="I73" s="21" t="n">
        <v>250</v>
      </c>
      <c r="J73" s="17" t="n">
        <v>2</v>
      </c>
    </row>
    <row r="74" customFormat="false" ht="26.25" hidden="false" customHeight="true" outlineLevel="0" collapsed="false">
      <c r="A74" s="17" t="s">
        <v>646</v>
      </c>
      <c r="B74" s="20" t="n">
        <v>46093</v>
      </c>
      <c r="C74" s="17" t="s">
        <v>162</v>
      </c>
      <c r="D74" s="17" t="s">
        <v>282</v>
      </c>
      <c r="E74" s="17" t="s">
        <v>514</v>
      </c>
      <c r="F74" s="8" t="s">
        <v>601</v>
      </c>
      <c r="G74" s="17" t="s">
        <v>575</v>
      </c>
      <c r="H74" s="17" t="s">
        <v>108</v>
      </c>
      <c r="I74" s="21" t="n">
        <v>2600</v>
      </c>
      <c r="J74" s="17" t="n">
        <v>9</v>
      </c>
    </row>
    <row r="75" customFormat="false" ht="26.25" hidden="false" customHeight="true" outlineLevel="0" collapsed="false">
      <c r="A75" s="17" t="s">
        <v>647</v>
      </c>
      <c r="B75" s="20" t="n">
        <v>46037</v>
      </c>
      <c r="C75" s="17" t="s">
        <v>243</v>
      </c>
      <c r="D75" s="17" t="s">
        <v>484</v>
      </c>
      <c r="E75" s="17" t="s">
        <v>506</v>
      </c>
      <c r="F75" s="8" t="s">
        <v>570</v>
      </c>
      <c r="G75" s="17" t="s">
        <v>568</v>
      </c>
      <c r="H75" s="17" t="s">
        <v>108</v>
      </c>
      <c r="I75" s="21" t="n">
        <v>340</v>
      </c>
      <c r="J75" s="17" t="n">
        <v>6</v>
      </c>
    </row>
    <row r="76" customFormat="false" ht="26.25" hidden="false" customHeight="true" outlineLevel="0" collapsed="false">
      <c r="A76" s="17" t="s">
        <v>648</v>
      </c>
      <c r="B76" s="20" t="n">
        <v>46064</v>
      </c>
      <c r="C76" s="17" t="s">
        <v>175</v>
      </c>
      <c r="D76" s="17" t="s">
        <v>308</v>
      </c>
      <c r="E76" s="17" t="s">
        <v>510</v>
      </c>
      <c r="F76" s="8" t="s">
        <v>601</v>
      </c>
      <c r="G76" s="17" t="s">
        <v>571</v>
      </c>
      <c r="H76" s="17" t="s">
        <v>105</v>
      </c>
      <c r="I76" s="21" t="n">
        <v>850</v>
      </c>
      <c r="J76" s="17"/>
    </row>
    <row r="77" customFormat="false" ht="26.25" hidden="false" customHeight="true" outlineLevel="0" collapsed="false">
      <c r="A77" s="17" t="s">
        <v>649</v>
      </c>
      <c r="B77" s="20" t="n">
        <v>46083</v>
      </c>
      <c r="C77" s="17" t="s">
        <v>237</v>
      </c>
      <c r="D77" s="17" t="s">
        <v>463</v>
      </c>
      <c r="E77" s="17" t="s">
        <v>514</v>
      </c>
      <c r="F77" s="8" t="s">
        <v>601</v>
      </c>
      <c r="G77" s="17" t="s">
        <v>571</v>
      </c>
      <c r="H77" s="17" t="s">
        <v>108</v>
      </c>
      <c r="I77" s="21" t="n">
        <v>180</v>
      </c>
      <c r="J77" s="17" t="n">
        <v>2</v>
      </c>
    </row>
    <row r="78" customFormat="false" ht="26.25" hidden="false" customHeight="true" outlineLevel="0" collapsed="false">
      <c r="A78" s="17" t="s">
        <v>650</v>
      </c>
      <c r="B78" s="20" t="n">
        <v>46101</v>
      </c>
      <c r="C78" s="17" t="s">
        <v>204</v>
      </c>
      <c r="D78" s="17" t="s">
        <v>381</v>
      </c>
      <c r="E78" s="17" t="s">
        <v>512</v>
      </c>
      <c r="F78" s="8" t="s">
        <v>601</v>
      </c>
      <c r="G78" s="17" t="s">
        <v>575</v>
      </c>
      <c r="H78" s="17" t="s">
        <v>589</v>
      </c>
      <c r="I78" s="21" t="n">
        <v>480</v>
      </c>
      <c r="J78" s="17"/>
    </row>
    <row r="79" customFormat="false" ht="26.25" hidden="false" customHeight="true" outlineLevel="0" collapsed="false">
      <c r="A79" s="17" t="s">
        <v>651</v>
      </c>
      <c r="B79" s="20" t="n">
        <v>46082</v>
      </c>
      <c r="C79" s="17" t="s">
        <v>188</v>
      </c>
      <c r="D79" s="17" t="s">
        <v>340</v>
      </c>
      <c r="E79" s="17" t="s">
        <v>506</v>
      </c>
      <c r="F79" s="8" t="s">
        <v>570</v>
      </c>
      <c r="G79" s="17" t="s">
        <v>571</v>
      </c>
      <c r="H79" s="17" t="s">
        <v>108</v>
      </c>
      <c r="I79" s="21" t="n">
        <v>1800</v>
      </c>
      <c r="J79" s="17" t="n">
        <v>3</v>
      </c>
    </row>
    <row r="80" customFormat="false" ht="26.25" hidden="false" customHeight="true" outlineLevel="0" collapsed="false">
      <c r="A80" s="17" t="s">
        <v>652</v>
      </c>
      <c r="B80" s="20" t="n">
        <v>46137</v>
      </c>
      <c r="C80" s="17" t="s">
        <v>184</v>
      </c>
      <c r="D80" s="17" t="s">
        <v>330</v>
      </c>
      <c r="E80" s="17" t="s">
        <v>510</v>
      </c>
      <c r="F80" s="8" t="s">
        <v>567</v>
      </c>
      <c r="G80" s="17" t="s">
        <v>568</v>
      </c>
      <c r="H80" s="17" t="s">
        <v>105</v>
      </c>
      <c r="I80" s="21" t="n">
        <v>480</v>
      </c>
      <c r="J80" s="17"/>
    </row>
    <row r="81" customFormat="false" ht="26.25" hidden="false" customHeight="true" outlineLevel="0" collapsed="false">
      <c r="A81" s="17" t="s">
        <v>653</v>
      </c>
      <c r="B81" s="20" t="n">
        <v>46132</v>
      </c>
      <c r="C81" s="17" t="s">
        <v>213</v>
      </c>
      <c r="D81" s="17" t="s">
        <v>404</v>
      </c>
      <c r="E81" s="17" t="s">
        <v>510</v>
      </c>
      <c r="F81" s="8" t="s">
        <v>567</v>
      </c>
      <c r="G81" s="17" t="s">
        <v>575</v>
      </c>
      <c r="H81" s="17" t="s">
        <v>105</v>
      </c>
      <c r="I81" s="21" t="n">
        <v>2600</v>
      </c>
      <c r="J81" s="17"/>
    </row>
    <row r="82" customFormat="false" ht="26.25" hidden="false" customHeight="true" outlineLevel="0" collapsed="false">
      <c r="A82" s="17" t="s">
        <v>654</v>
      </c>
      <c r="B82" s="20" t="n">
        <v>46132</v>
      </c>
      <c r="C82" s="17" t="s">
        <v>179</v>
      </c>
      <c r="D82" s="17" t="s">
        <v>328</v>
      </c>
      <c r="E82" s="17" t="s">
        <v>510</v>
      </c>
      <c r="F82" s="8" t="s">
        <v>601</v>
      </c>
      <c r="G82" s="17" t="s">
        <v>575</v>
      </c>
      <c r="H82" s="17" t="s">
        <v>108</v>
      </c>
      <c r="I82" s="21" t="n">
        <v>85</v>
      </c>
      <c r="J82" s="17" t="n">
        <v>9</v>
      </c>
    </row>
    <row r="83" customFormat="false" ht="26.25" hidden="false" customHeight="true" outlineLevel="0" collapsed="false">
      <c r="A83" s="17" t="s">
        <v>655</v>
      </c>
      <c r="B83" s="20" t="n">
        <v>46135</v>
      </c>
      <c r="C83" s="17" t="s">
        <v>226</v>
      </c>
      <c r="D83" s="17" t="s">
        <v>437</v>
      </c>
      <c r="E83" s="17" t="s">
        <v>514</v>
      </c>
      <c r="F83" s="8" t="s">
        <v>579</v>
      </c>
      <c r="G83" s="17" t="s">
        <v>571</v>
      </c>
      <c r="H83" s="17" t="s">
        <v>113</v>
      </c>
      <c r="I83" s="21" t="n">
        <v>340</v>
      </c>
      <c r="J83" s="17"/>
    </row>
    <row r="84" customFormat="false" ht="26.25" hidden="false" customHeight="true" outlineLevel="0" collapsed="false">
      <c r="A84" s="17" t="s">
        <v>656</v>
      </c>
      <c r="B84" s="20" t="n">
        <v>46106</v>
      </c>
      <c r="C84" s="17" t="s">
        <v>188</v>
      </c>
      <c r="D84" s="17" t="s">
        <v>340</v>
      </c>
      <c r="E84" s="17" t="s">
        <v>506</v>
      </c>
      <c r="F84" s="8" t="s">
        <v>570</v>
      </c>
      <c r="G84" s="17" t="s">
        <v>571</v>
      </c>
      <c r="H84" s="17" t="s">
        <v>108</v>
      </c>
      <c r="I84" s="21" t="n">
        <v>620</v>
      </c>
      <c r="J84" s="17" t="n">
        <v>2</v>
      </c>
    </row>
    <row r="85" customFormat="false" ht="26.25" hidden="false" customHeight="true" outlineLevel="0" collapsed="false">
      <c r="A85" s="17" t="s">
        <v>657</v>
      </c>
      <c r="B85" s="20" t="n">
        <v>46080</v>
      </c>
      <c r="C85" s="17" t="s">
        <v>204</v>
      </c>
      <c r="D85" s="17" t="s">
        <v>379</v>
      </c>
      <c r="E85" s="17" t="s">
        <v>512</v>
      </c>
      <c r="F85" s="8" t="s">
        <v>570</v>
      </c>
      <c r="G85" s="17" t="s">
        <v>571</v>
      </c>
      <c r="H85" s="17" t="s">
        <v>105</v>
      </c>
      <c r="I85" s="21" t="n">
        <v>180</v>
      </c>
      <c r="J85" s="17"/>
    </row>
    <row r="86" customFormat="false" ht="26.25" hidden="false" customHeight="true" outlineLevel="0" collapsed="false">
      <c r="A86" s="17" t="s">
        <v>658</v>
      </c>
      <c r="B86" s="20" t="n">
        <v>46088</v>
      </c>
      <c r="C86" s="17" t="s">
        <v>207</v>
      </c>
      <c r="D86" s="17" t="s">
        <v>391</v>
      </c>
      <c r="E86" s="17" t="s">
        <v>506</v>
      </c>
      <c r="F86" s="8" t="s">
        <v>579</v>
      </c>
      <c r="G86" s="17" t="s">
        <v>571</v>
      </c>
      <c r="H86" s="17" t="s">
        <v>589</v>
      </c>
      <c r="I86" s="21" t="n">
        <v>1200</v>
      </c>
      <c r="J86" s="17"/>
    </row>
    <row r="87" customFormat="false" ht="26.25" hidden="false" customHeight="true" outlineLevel="0" collapsed="false">
      <c r="A87" s="17" t="s">
        <v>659</v>
      </c>
      <c r="B87" s="20" t="n">
        <v>46066</v>
      </c>
      <c r="C87" s="17" t="s">
        <v>234</v>
      </c>
      <c r="D87" s="17" t="s">
        <v>449</v>
      </c>
      <c r="E87" s="17" t="s">
        <v>510</v>
      </c>
      <c r="F87" s="8" t="s">
        <v>564</v>
      </c>
      <c r="G87" s="17" t="s">
        <v>575</v>
      </c>
      <c r="H87" s="17" t="s">
        <v>108</v>
      </c>
      <c r="I87" s="21" t="n">
        <v>480</v>
      </c>
      <c r="J87" s="17" t="n">
        <v>12</v>
      </c>
    </row>
    <row r="88" customFormat="false" ht="26.25" hidden="false" customHeight="true" outlineLevel="0" collapsed="false">
      <c r="A88" s="17" t="s">
        <v>660</v>
      </c>
      <c r="B88" s="20" t="n">
        <v>46098</v>
      </c>
      <c r="C88" s="17" t="s">
        <v>237</v>
      </c>
      <c r="D88" s="17" t="s">
        <v>463</v>
      </c>
      <c r="E88" s="17" t="s">
        <v>514</v>
      </c>
      <c r="F88" s="8" t="s">
        <v>567</v>
      </c>
      <c r="G88" s="17" t="s">
        <v>571</v>
      </c>
      <c r="H88" s="17" t="s">
        <v>108</v>
      </c>
      <c r="I88" s="21" t="n">
        <v>1200</v>
      </c>
      <c r="J88" s="17" t="n">
        <v>8</v>
      </c>
    </row>
    <row r="89" customFormat="false" ht="26.25" hidden="false" customHeight="true" outlineLevel="0" collapsed="false">
      <c r="A89" s="17" t="s">
        <v>661</v>
      </c>
      <c r="B89" s="20" t="n">
        <v>46079</v>
      </c>
      <c r="C89" s="17" t="s">
        <v>237</v>
      </c>
      <c r="D89" s="17" t="s">
        <v>461</v>
      </c>
      <c r="E89" s="17" t="s">
        <v>502</v>
      </c>
      <c r="F89" s="8" t="s">
        <v>567</v>
      </c>
      <c r="G89" s="17" t="s">
        <v>571</v>
      </c>
      <c r="H89" s="17" t="s">
        <v>108</v>
      </c>
      <c r="I89" s="21" t="n">
        <v>340</v>
      </c>
      <c r="J89" s="17" t="n">
        <v>10</v>
      </c>
    </row>
    <row r="90" customFormat="false" ht="26.25" hidden="false" customHeight="true" outlineLevel="0" collapsed="false">
      <c r="A90" s="17" t="s">
        <v>662</v>
      </c>
      <c r="B90" s="20" t="n">
        <v>46047</v>
      </c>
      <c r="C90" s="17" t="s">
        <v>167</v>
      </c>
      <c r="D90" s="17" t="s">
        <v>294</v>
      </c>
      <c r="E90" s="17" t="s">
        <v>506</v>
      </c>
      <c r="F90" s="8" t="s">
        <v>579</v>
      </c>
      <c r="G90" s="17" t="s">
        <v>571</v>
      </c>
      <c r="H90" s="17" t="s">
        <v>108</v>
      </c>
      <c r="I90" s="21" t="n">
        <v>340</v>
      </c>
      <c r="J90" s="17" t="n">
        <v>8</v>
      </c>
    </row>
    <row r="91" customFormat="false" ht="26.25" hidden="false" customHeight="true" outlineLevel="0" collapsed="false">
      <c r="A91" s="17" t="s">
        <v>663</v>
      </c>
      <c r="B91" s="20" t="n">
        <v>46024</v>
      </c>
      <c r="C91" s="17" t="s">
        <v>240</v>
      </c>
      <c r="D91" s="17" t="s">
        <v>473</v>
      </c>
      <c r="E91" s="17" t="s">
        <v>512</v>
      </c>
      <c r="F91" s="8" t="s">
        <v>601</v>
      </c>
      <c r="G91" s="17" t="s">
        <v>568</v>
      </c>
      <c r="H91" s="17" t="s">
        <v>576</v>
      </c>
      <c r="I91" s="21" t="n">
        <v>480</v>
      </c>
      <c r="J91" s="17"/>
    </row>
    <row r="92" customFormat="false" ht="26.25" hidden="false" customHeight="true" outlineLevel="0" collapsed="false">
      <c r="A92" s="17" t="s">
        <v>664</v>
      </c>
      <c r="B92" s="20" t="n">
        <v>46129</v>
      </c>
      <c r="C92" s="17" t="s">
        <v>238</v>
      </c>
      <c r="D92" s="17" t="s">
        <v>466</v>
      </c>
      <c r="E92" s="17" t="s">
        <v>512</v>
      </c>
      <c r="F92" s="8" t="s">
        <v>601</v>
      </c>
      <c r="G92" s="17" t="s">
        <v>568</v>
      </c>
      <c r="H92" s="17" t="s">
        <v>113</v>
      </c>
      <c r="I92" s="21" t="n">
        <v>1200</v>
      </c>
      <c r="J92" s="17"/>
    </row>
    <row r="93" customFormat="false" ht="26.25" hidden="false" customHeight="true" outlineLevel="0" collapsed="false">
      <c r="A93" s="17" t="s">
        <v>665</v>
      </c>
      <c r="B93" s="20" t="n">
        <v>46044</v>
      </c>
      <c r="C93" s="17" t="s">
        <v>211</v>
      </c>
      <c r="D93" s="17" t="s">
        <v>398</v>
      </c>
      <c r="E93" s="17" t="s">
        <v>502</v>
      </c>
      <c r="F93" s="8" t="s">
        <v>567</v>
      </c>
      <c r="G93" s="17" t="s">
        <v>571</v>
      </c>
      <c r="H93" s="17" t="s">
        <v>108</v>
      </c>
      <c r="I93" s="21" t="n">
        <v>480</v>
      </c>
      <c r="J93" s="17" t="n">
        <v>5</v>
      </c>
    </row>
    <row r="94" customFormat="false" ht="26.25" hidden="false" customHeight="true" outlineLevel="0" collapsed="false">
      <c r="A94" s="17" t="s">
        <v>666</v>
      </c>
      <c r="B94" s="20" t="n">
        <v>46049</v>
      </c>
      <c r="C94" s="17" t="s">
        <v>207</v>
      </c>
      <c r="D94" s="17" t="s">
        <v>388</v>
      </c>
      <c r="E94" s="17" t="s">
        <v>504</v>
      </c>
      <c r="F94" s="8" t="s">
        <v>564</v>
      </c>
      <c r="G94" s="17" t="s">
        <v>568</v>
      </c>
      <c r="H94" s="17" t="s">
        <v>108</v>
      </c>
      <c r="I94" s="21" t="n">
        <v>340</v>
      </c>
      <c r="J94" s="17" t="n">
        <v>1</v>
      </c>
    </row>
    <row r="95" customFormat="false" ht="26.25" hidden="false" customHeight="true" outlineLevel="0" collapsed="false">
      <c r="A95" s="17" t="s">
        <v>667</v>
      </c>
      <c r="B95" s="20" t="n">
        <v>46028</v>
      </c>
      <c r="C95" s="17" t="s">
        <v>198</v>
      </c>
      <c r="D95" s="17" t="s">
        <v>368</v>
      </c>
      <c r="E95" s="17" t="s">
        <v>514</v>
      </c>
      <c r="F95" s="8" t="s">
        <v>601</v>
      </c>
      <c r="G95" s="17" t="s">
        <v>571</v>
      </c>
      <c r="H95" s="17" t="s">
        <v>108</v>
      </c>
      <c r="I95" s="21" t="n">
        <v>2600</v>
      </c>
      <c r="J95" s="17" t="n">
        <v>3</v>
      </c>
    </row>
    <row r="96" customFormat="false" ht="26.25" hidden="false" customHeight="true" outlineLevel="0" collapsed="false">
      <c r="A96" s="17" t="s">
        <v>668</v>
      </c>
      <c r="B96" s="20" t="n">
        <v>46120</v>
      </c>
      <c r="C96" s="17" t="s">
        <v>234</v>
      </c>
      <c r="D96" s="17" t="s">
        <v>453</v>
      </c>
      <c r="E96" s="17" t="s">
        <v>510</v>
      </c>
      <c r="F96" s="8" t="s">
        <v>567</v>
      </c>
      <c r="G96" s="17" t="s">
        <v>571</v>
      </c>
      <c r="H96" s="17" t="s">
        <v>108</v>
      </c>
      <c r="I96" s="21" t="n">
        <v>120</v>
      </c>
      <c r="J96" s="17" t="n">
        <v>6</v>
      </c>
    </row>
    <row r="97" customFormat="false" ht="26.25" hidden="false" customHeight="true" outlineLevel="0" collapsed="false">
      <c r="A97" s="17" t="s">
        <v>669</v>
      </c>
      <c r="B97" s="20" t="n">
        <v>46067</v>
      </c>
      <c r="C97" s="17" t="s">
        <v>231</v>
      </c>
      <c r="D97" s="17" t="s">
        <v>444</v>
      </c>
      <c r="E97" s="17" t="s">
        <v>504</v>
      </c>
      <c r="F97" s="8" t="s">
        <v>601</v>
      </c>
      <c r="G97" s="17" t="s">
        <v>575</v>
      </c>
      <c r="H97" s="17" t="s">
        <v>113</v>
      </c>
      <c r="I97" s="21" t="n">
        <v>1200</v>
      </c>
      <c r="J97" s="17"/>
    </row>
    <row r="98" customFormat="false" ht="26.25" hidden="false" customHeight="true" outlineLevel="0" collapsed="false">
      <c r="A98" s="17" t="s">
        <v>670</v>
      </c>
      <c r="B98" s="20" t="n">
        <v>46119</v>
      </c>
      <c r="C98" s="17" t="s">
        <v>231</v>
      </c>
      <c r="D98" s="17" t="s">
        <v>444</v>
      </c>
      <c r="E98" s="17" t="s">
        <v>504</v>
      </c>
      <c r="F98" s="8" t="s">
        <v>579</v>
      </c>
      <c r="G98" s="17" t="s">
        <v>571</v>
      </c>
      <c r="H98" s="17" t="s">
        <v>108</v>
      </c>
      <c r="I98" s="21" t="n">
        <v>85</v>
      </c>
      <c r="J98" s="17" t="n">
        <v>7</v>
      </c>
    </row>
    <row r="99" customFormat="false" ht="26.25" hidden="false" customHeight="true" outlineLevel="0" collapsed="false">
      <c r="A99" s="17" t="s">
        <v>671</v>
      </c>
      <c r="B99" s="20" t="n">
        <v>46033</v>
      </c>
      <c r="C99" s="17" t="s">
        <v>219</v>
      </c>
      <c r="D99" s="17" t="s">
        <v>414</v>
      </c>
      <c r="E99" s="17" t="s">
        <v>502</v>
      </c>
      <c r="F99" s="8" t="s">
        <v>570</v>
      </c>
      <c r="G99" s="17" t="s">
        <v>568</v>
      </c>
      <c r="H99" s="17" t="s">
        <v>108</v>
      </c>
      <c r="I99" s="21" t="n">
        <v>250</v>
      </c>
      <c r="J99" s="17" t="n">
        <v>1</v>
      </c>
    </row>
    <row r="100" customFormat="false" ht="26.25" hidden="false" customHeight="true" outlineLevel="0" collapsed="false">
      <c r="A100" s="17" t="s">
        <v>672</v>
      </c>
      <c r="B100" s="20" t="n">
        <v>46025</v>
      </c>
      <c r="C100" s="17" t="s">
        <v>237</v>
      </c>
      <c r="D100" s="17" t="s">
        <v>462</v>
      </c>
      <c r="E100" s="17" t="s">
        <v>514</v>
      </c>
      <c r="F100" s="8" t="s">
        <v>579</v>
      </c>
      <c r="G100" s="17" t="s">
        <v>575</v>
      </c>
      <c r="H100" s="17" t="s">
        <v>108</v>
      </c>
      <c r="I100" s="21" t="n">
        <v>180</v>
      </c>
      <c r="J100" s="17" t="n">
        <v>4</v>
      </c>
    </row>
    <row r="101" customFormat="false" ht="26.25" hidden="false" customHeight="true" outlineLevel="0" collapsed="false">
      <c r="A101" s="17" t="s">
        <v>673</v>
      </c>
      <c r="B101" s="20" t="n">
        <v>46085</v>
      </c>
      <c r="C101" s="17" t="s">
        <v>238</v>
      </c>
      <c r="D101" s="17" t="s">
        <v>472</v>
      </c>
      <c r="E101" s="17" t="s">
        <v>512</v>
      </c>
      <c r="F101" s="8" t="s">
        <v>601</v>
      </c>
      <c r="G101" s="17" t="s">
        <v>575</v>
      </c>
      <c r="H101" s="17" t="s">
        <v>113</v>
      </c>
      <c r="I101" s="21" t="n">
        <v>180</v>
      </c>
      <c r="J101" s="17"/>
    </row>
    <row r="102" customFormat="false" ht="26.25" hidden="false" customHeight="true" outlineLevel="0" collapsed="false">
      <c r="A102" s="17" t="s">
        <v>674</v>
      </c>
      <c r="B102" s="20" t="n">
        <v>46066</v>
      </c>
      <c r="C102" s="17" t="s">
        <v>213</v>
      </c>
      <c r="D102" s="17" t="s">
        <v>407</v>
      </c>
      <c r="E102" s="17" t="s">
        <v>510</v>
      </c>
      <c r="F102" s="8" t="s">
        <v>573</v>
      </c>
      <c r="G102" s="17" t="s">
        <v>571</v>
      </c>
      <c r="H102" s="17" t="s">
        <v>105</v>
      </c>
      <c r="I102" s="21" t="n">
        <v>1800</v>
      </c>
      <c r="J102" s="17"/>
    </row>
    <row r="103" customFormat="false" ht="26.25" hidden="false" customHeight="true" outlineLevel="0" collapsed="false">
      <c r="A103" s="17" t="s">
        <v>675</v>
      </c>
      <c r="B103" s="20" t="n">
        <v>46038</v>
      </c>
      <c r="C103" s="17" t="s">
        <v>207</v>
      </c>
      <c r="D103" s="17" t="s">
        <v>385</v>
      </c>
      <c r="E103" s="17" t="s">
        <v>512</v>
      </c>
      <c r="F103" s="8" t="s">
        <v>567</v>
      </c>
      <c r="G103" s="17" t="s">
        <v>565</v>
      </c>
      <c r="H103" s="17" t="s">
        <v>108</v>
      </c>
      <c r="I103" s="21" t="n">
        <v>340</v>
      </c>
      <c r="J103" s="17" t="n">
        <v>2</v>
      </c>
    </row>
    <row r="104" customFormat="false" ht="26.25" hidden="false" customHeight="true" outlineLevel="0" collapsed="false">
      <c r="A104" s="17" t="s">
        <v>676</v>
      </c>
      <c r="B104" s="20" t="n">
        <v>46124</v>
      </c>
      <c r="C104" s="17" t="s">
        <v>151</v>
      </c>
      <c r="D104" s="17" t="s">
        <v>269</v>
      </c>
      <c r="E104" s="17" t="s">
        <v>502</v>
      </c>
      <c r="F104" s="8" t="s">
        <v>564</v>
      </c>
      <c r="G104" s="17" t="s">
        <v>575</v>
      </c>
      <c r="H104" s="17" t="s">
        <v>113</v>
      </c>
      <c r="I104" s="21" t="n">
        <v>180</v>
      </c>
      <c r="J104" s="17"/>
    </row>
    <row r="105" customFormat="false" ht="26.25" hidden="false" customHeight="true" outlineLevel="0" collapsed="false">
      <c r="A105" s="17" t="s">
        <v>677</v>
      </c>
      <c r="B105" s="20" t="n">
        <v>46041</v>
      </c>
      <c r="C105" s="17" t="s">
        <v>198</v>
      </c>
      <c r="D105" s="17" t="s">
        <v>364</v>
      </c>
      <c r="E105" s="17" t="s">
        <v>508</v>
      </c>
      <c r="F105" s="8" t="s">
        <v>601</v>
      </c>
      <c r="G105" s="17" t="s">
        <v>575</v>
      </c>
      <c r="H105" s="17" t="s">
        <v>113</v>
      </c>
      <c r="I105" s="21" t="n">
        <v>120</v>
      </c>
      <c r="J105" s="17"/>
    </row>
    <row r="106" customFormat="false" ht="26.25" hidden="false" customHeight="true" outlineLevel="0" collapsed="false">
      <c r="A106" s="17" t="s">
        <v>678</v>
      </c>
      <c r="B106" s="20" t="n">
        <v>46030</v>
      </c>
      <c r="C106" s="17" t="s">
        <v>223</v>
      </c>
      <c r="D106" s="17" t="s">
        <v>422</v>
      </c>
      <c r="E106" s="17" t="s">
        <v>512</v>
      </c>
      <c r="F106" s="8" t="s">
        <v>567</v>
      </c>
      <c r="G106" s="17" t="s">
        <v>565</v>
      </c>
      <c r="H106" s="17" t="s">
        <v>113</v>
      </c>
      <c r="I106" s="21" t="n">
        <v>120</v>
      </c>
      <c r="J106" s="17"/>
    </row>
    <row r="107" customFormat="false" ht="26.25" hidden="false" customHeight="true" outlineLevel="0" collapsed="false">
      <c r="A107" s="17" t="s">
        <v>679</v>
      </c>
      <c r="B107" s="20" t="n">
        <v>46040</v>
      </c>
      <c r="C107" s="17" t="s">
        <v>179</v>
      </c>
      <c r="D107" s="17" t="s">
        <v>324</v>
      </c>
      <c r="E107" s="17" t="s">
        <v>512</v>
      </c>
      <c r="F107" s="8" t="s">
        <v>567</v>
      </c>
      <c r="G107" s="17" t="s">
        <v>571</v>
      </c>
      <c r="H107" s="17" t="s">
        <v>113</v>
      </c>
      <c r="I107" s="21" t="n">
        <v>620</v>
      </c>
      <c r="J107" s="17"/>
    </row>
    <row r="108" customFormat="false" ht="26.25" hidden="false" customHeight="true" outlineLevel="0" collapsed="false">
      <c r="A108" s="17" t="s">
        <v>680</v>
      </c>
      <c r="B108" s="20" t="n">
        <v>46124</v>
      </c>
      <c r="C108" s="17" t="s">
        <v>194</v>
      </c>
      <c r="D108" s="17" t="s">
        <v>351</v>
      </c>
      <c r="E108" s="17" t="s">
        <v>502</v>
      </c>
      <c r="F108" s="8" t="s">
        <v>570</v>
      </c>
      <c r="G108" s="17" t="s">
        <v>568</v>
      </c>
      <c r="H108" s="17" t="s">
        <v>105</v>
      </c>
      <c r="I108" s="21" t="n">
        <v>180</v>
      </c>
      <c r="J108" s="17"/>
    </row>
    <row r="109" customFormat="false" ht="26.25" hidden="false" customHeight="true" outlineLevel="0" collapsed="false">
      <c r="A109" s="17" t="s">
        <v>681</v>
      </c>
      <c r="B109" s="20" t="n">
        <v>46031</v>
      </c>
      <c r="C109" s="17" t="s">
        <v>204</v>
      </c>
      <c r="D109" s="17" t="s">
        <v>382</v>
      </c>
      <c r="E109" s="17" t="s">
        <v>504</v>
      </c>
      <c r="F109" s="8" t="s">
        <v>573</v>
      </c>
      <c r="G109" s="17" t="s">
        <v>571</v>
      </c>
      <c r="H109" s="17" t="s">
        <v>113</v>
      </c>
      <c r="I109" s="21" t="n">
        <v>1200</v>
      </c>
      <c r="J109" s="17"/>
    </row>
    <row r="110" customFormat="false" ht="26.25" hidden="false" customHeight="true" outlineLevel="0" collapsed="false">
      <c r="A110" s="17" t="s">
        <v>682</v>
      </c>
      <c r="B110" s="20" t="n">
        <v>46060</v>
      </c>
      <c r="C110" s="17" t="s">
        <v>167</v>
      </c>
      <c r="D110" s="17" t="s">
        <v>296</v>
      </c>
      <c r="E110" s="17" t="s">
        <v>506</v>
      </c>
      <c r="F110" s="8" t="s">
        <v>567</v>
      </c>
      <c r="G110" s="17" t="s">
        <v>575</v>
      </c>
      <c r="H110" s="17" t="s">
        <v>108</v>
      </c>
      <c r="I110" s="21" t="n">
        <v>85</v>
      </c>
      <c r="J110" s="17" t="n">
        <v>7</v>
      </c>
    </row>
    <row r="111" customFormat="false" ht="26.25" hidden="false" customHeight="true" outlineLevel="0" collapsed="false">
      <c r="A111" s="17" t="s">
        <v>683</v>
      </c>
      <c r="B111" s="20" t="n">
        <v>46140</v>
      </c>
      <c r="C111" s="17" t="s">
        <v>179</v>
      </c>
      <c r="D111" s="17" t="s">
        <v>327</v>
      </c>
      <c r="E111" s="17" t="s">
        <v>504</v>
      </c>
      <c r="F111" s="8" t="s">
        <v>573</v>
      </c>
      <c r="G111" s="17" t="s">
        <v>565</v>
      </c>
      <c r="H111" s="17" t="s">
        <v>108</v>
      </c>
      <c r="I111" s="21" t="n">
        <v>620</v>
      </c>
      <c r="J111" s="17" t="n">
        <v>0</v>
      </c>
    </row>
    <row r="112" customFormat="false" ht="26.25" hidden="false" customHeight="true" outlineLevel="0" collapsed="false">
      <c r="A112" s="17" t="s">
        <v>684</v>
      </c>
      <c r="B112" s="20" t="n">
        <v>46125</v>
      </c>
      <c r="C112" s="17" t="s">
        <v>245</v>
      </c>
      <c r="D112" s="17" t="s">
        <v>487</v>
      </c>
      <c r="E112" s="17" t="s">
        <v>502</v>
      </c>
      <c r="F112" s="8" t="s">
        <v>601</v>
      </c>
      <c r="G112" s="17" t="s">
        <v>565</v>
      </c>
      <c r="H112" s="17" t="s">
        <v>108</v>
      </c>
      <c r="I112" s="21" t="n">
        <v>620</v>
      </c>
      <c r="J112" s="17" t="n">
        <v>0</v>
      </c>
    </row>
    <row r="113" customFormat="false" ht="26.25" hidden="false" customHeight="true" outlineLevel="0" collapsed="false">
      <c r="A113" s="17" t="s">
        <v>685</v>
      </c>
      <c r="B113" s="20" t="n">
        <v>46066</v>
      </c>
      <c r="C113" s="17" t="s">
        <v>167</v>
      </c>
      <c r="D113" s="17" t="s">
        <v>294</v>
      </c>
      <c r="E113" s="17" t="s">
        <v>506</v>
      </c>
      <c r="F113" s="8" t="s">
        <v>567</v>
      </c>
      <c r="G113" s="17" t="s">
        <v>575</v>
      </c>
      <c r="H113" s="17" t="s">
        <v>105</v>
      </c>
      <c r="I113" s="21" t="n">
        <v>480</v>
      </c>
      <c r="J113" s="17"/>
    </row>
    <row r="114" customFormat="false" ht="26.25" hidden="false" customHeight="true" outlineLevel="0" collapsed="false">
      <c r="A114" s="17" t="s">
        <v>686</v>
      </c>
      <c r="B114" s="20" t="n">
        <v>46047</v>
      </c>
      <c r="C114" s="17" t="s">
        <v>198</v>
      </c>
      <c r="D114" s="17" t="s">
        <v>363</v>
      </c>
      <c r="E114" s="17" t="s">
        <v>508</v>
      </c>
      <c r="F114" s="8" t="s">
        <v>570</v>
      </c>
      <c r="G114" s="17" t="s">
        <v>568</v>
      </c>
      <c r="H114" s="17" t="s">
        <v>105</v>
      </c>
      <c r="I114" s="21" t="n">
        <v>2600</v>
      </c>
      <c r="J114" s="17"/>
    </row>
    <row r="115" customFormat="false" ht="26.25" hidden="false" customHeight="true" outlineLevel="0" collapsed="false">
      <c r="A115" s="17" t="s">
        <v>687</v>
      </c>
      <c r="B115" s="20" t="n">
        <v>46117</v>
      </c>
      <c r="C115" s="17" t="s">
        <v>207</v>
      </c>
      <c r="D115" s="17" t="s">
        <v>387</v>
      </c>
      <c r="E115" s="17" t="s">
        <v>514</v>
      </c>
      <c r="F115" s="8" t="s">
        <v>570</v>
      </c>
      <c r="G115" s="17" t="s">
        <v>571</v>
      </c>
      <c r="H115" s="17" t="s">
        <v>108</v>
      </c>
      <c r="I115" s="21" t="n">
        <v>180</v>
      </c>
      <c r="J115" s="17" t="n">
        <v>7</v>
      </c>
    </row>
    <row r="116" customFormat="false" ht="26.25" hidden="false" customHeight="true" outlineLevel="0" collapsed="false">
      <c r="A116" s="17" t="s">
        <v>688</v>
      </c>
      <c r="B116" s="20" t="n">
        <v>46034</v>
      </c>
      <c r="C116" s="17" t="s">
        <v>216</v>
      </c>
      <c r="D116" s="17" t="s">
        <v>409</v>
      </c>
      <c r="E116" s="17" t="s">
        <v>500</v>
      </c>
      <c r="F116" s="8" t="s">
        <v>573</v>
      </c>
      <c r="G116" s="17" t="s">
        <v>575</v>
      </c>
      <c r="H116" s="17" t="s">
        <v>113</v>
      </c>
      <c r="I116" s="21" t="n">
        <v>620</v>
      </c>
      <c r="J116" s="17"/>
    </row>
    <row r="117" customFormat="false" ht="26.25" hidden="false" customHeight="true" outlineLevel="0" collapsed="false">
      <c r="A117" s="17" t="s">
        <v>689</v>
      </c>
      <c r="B117" s="20" t="n">
        <v>46078</v>
      </c>
      <c r="C117" s="17" t="s">
        <v>167</v>
      </c>
      <c r="D117" s="17" t="s">
        <v>297</v>
      </c>
      <c r="E117" s="17" t="s">
        <v>512</v>
      </c>
      <c r="F117" s="8" t="s">
        <v>564</v>
      </c>
      <c r="G117" s="17" t="s">
        <v>571</v>
      </c>
      <c r="H117" s="17" t="s">
        <v>108</v>
      </c>
      <c r="I117" s="21" t="n">
        <v>1200</v>
      </c>
      <c r="J117" s="17" t="n">
        <v>6</v>
      </c>
    </row>
    <row r="118" customFormat="false" ht="26.25" hidden="false" customHeight="true" outlineLevel="0" collapsed="false">
      <c r="A118" s="17" t="s">
        <v>690</v>
      </c>
      <c r="B118" s="20" t="n">
        <v>46026</v>
      </c>
      <c r="C118" s="17" t="s">
        <v>172</v>
      </c>
      <c r="D118" s="17" t="s">
        <v>301</v>
      </c>
      <c r="E118" s="17" t="s">
        <v>504</v>
      </c>
      <c r="F118" s="8" t="s">
        <v>564</v>
      </c>
      <c r="G118" s="17" t="s">
        <v>571</v>
      </c>
      <c r="H118" s="17" t="s">
        <v>113</v>
      </c>
      <c r="I118" s="21" t="n">
        <v>850</v>
      </c>
      <c r="J118" s="17"/>
    </row>
    <row r="119" customFormat="false" ht="26.25" hidden="false" customHeight="true" outlineLevel="0" collapsed="false">
      <c r="A119" s="17" t="s">
        <v>691</v>
      </c>
      <c r="B119" s="20" t="n">
        <v>46072</v>
      </c>
      <c r="C119" s="17" t="s">
        <v>224</v>
      </c>
      <c r="D119" s="17" t="s">
        <v>430</v>
      </c>
      <c r="E119" s="17" t="s">
        <v>506</v>
      </c>
      <c r="F119" s="8" t="s">
        <v>570</v>
      </c>
      <c r="G119" s="17" t="s">
        <v>575</v>
      </c>
      <c r="H119" s="17" t="s">
        <v>108</v>
      </c>
      <c r="I119" s="21" t="n">
        <v>850</v>
      </c>
      <c r="J119" s="17" t="n">
        <v>14</v>
      </c>
    </row>
    <row r="120" customFormat="false" ht="26.25" hidden="false" customHeight="true" outlineLevel="0" collapsed="false">
      <c r="A120" s="17" t="s">
        <v>692</v>
      </c>
      <c r="B120" s="20" t="n">
        <v>46023</v>
      </c>
      <c r="C120" s="17" t="s">
        <v>237</v>
      </c>
      <c r="D120" s="17" t="s">
        <v>460</v>
      </c>
      <c r="E120" s="17" t="s">
        <v>506</v>
      </c>
      <c r="F120" s="8" t="s">
        <v>570</v>
      </c>
      <c r="G120" s="17" t="s">
        <v>571</v>
      </c>
      <c r="H120" s="17" t="s">
        <v>108</v>
      </c>
      <c r="I120" s="21" t="n">
        <v>1200</v>
      </c>
      <c r="J120" s="17" t="n">
        <v>5</v>
      </c>
    </row>
    <row r="121" customFormat="false" ht="26.25" hidden="false" customHeight="true" outlineLevel="0" collapsed="false">
      <c r="A121" s="17" t="s">
        <v>693</v>
      </c>
      <c r="B121" s="20" t="n">
        <v>46124</v>
      </c>
      <c r="C121" s="17" t="s">
        <v>194</v>
      </c>
      <c r="D121" s="17" t="s">
        <v>350</v>
      </c>
      <c r="E121" s="17" t="s">
        <v>500</v>
      </c>
      <c r="F121" s="8" t="s">
        <v>601</v>
      </c>
      <c r="G121" s="17" t="s">
        <v>571</v>
      </c>
      <c r="H121" s="17" t="s">
        <v>589</v>
      </c>
      <c r="I121" s="21" t="n">
        <v>120</v>
      </c>
      <c r="J121" s="17"/>
    </row>
    <row r="122" customFormat="false" ht="26.25" hidden="false" customHeight="true" outlineLevel="0" collapsed="false">
      <c r="A122" s="17" t="s">
        <v>694</v>
      </c>
      <c r="B122" s="20" t="n">
        <v>46100</v>
      </c>
      <c r="C122" s="17" t="s">
        <v>234</v>
      </c>
      <c r="D122" s="17" t="s">
        <v>457</v>
      </c>
      <c r="E122" s="17" t="s">
        <v>504</v>
      </c>
      <c r="F122" s="8" t="s">
        <v>573</v>
      </c>
      <c r="G122" s="17" t="s">
        <v>575</v>
      </c>
      <c r="H122" s="17" t="s">
        <v>108</v>
      </c>
      <c r="I122" s="21" t="n">
        <v>180</v>
      </c>
      <c r="J122" s="17" t="n">
        <v>12</v>
      </c>
    </row>
    <row r="123" customFormat="false" ht="26.25" hidden="false" customHeight="true" outlineLevel="0" collapsed="false">
      <c r="A123" s="17" t="s">
        <v>695</v>
      </c>
      <c r="B123" s="20" t="n">
        <v>46114</v>
      </c>
      <c r="C123" s="17" t="s">
        <v>231</v>
      </c>
      <c r="D123" s="17" t="s">
        <v>441</v>
      </c>
      <c r="E123" s="17" t="s">
        <v>502</v>
      </c>
      <c r="F123" s="8" t="s">
        <v>564</v>
      </c>
      <c r="G123" s="17" t="s">
        <v>575</v>
      </c>
      <c r="H123" s="17" t="s">
        <v>108</v>
      </c>
      <c r="I123" s="21" t="n">
        <v>480</v>
      </c>
      <c r="J123" s="17" t="n">
        <v>4</v>
      </c>
    </row>
    <row r="124" customFormat="false" ht="26.25" hidden="false" customHeight="true" outlineLevel="0" collapsed="false">
      <c r="A124" s="17" t="s">
        <v>696</v>
      </c>
      <c r="B124" s="20" t="n">
        <v>46124</v>
      </c>
      <c r="C124" s="17" t="s">
        <v>208</v>
      </c>
      <c r="D124" s="17" t="s">
        <v>394</v>
      </c>
      <c r="E124" s="17" t="s">
        <v>508</v>
      </c>
      <c r="F124" s="8" t="s">
        <v>601</v>
      </c>
      <c r="G124" s="17" t="s">
        <v>571</v>
      </c>
      <c r="H124" s="17" t="s">
        <v>108</v>
      </c>
      <c r="I124" s="21" t="n">
        <v>120</v>
      </c>
      <c r="J124" s="17" t="n">
        <v>9</v>
      </c>
    </row>
    <row r="125" customFormat="false" ht="26.25" hidden="false" customHeight="true" outlineLevel="0" collapsed="false">
      <c r="A125" s="17" t="s">
        <v>697</v>
      </c>
      <c r="B125" s="20" t="n">
        <v>46065</v>
      </c>
      <c r="C125" s="17" t="s">
        <v>175</v>
      </c>
      <c r="D125" s="17" t="s">
        <v>312</v>
      </c>
      <c r="E125" s="17" t="s">
        <v>510</v>
      </c>
      <c r="F125" s="8" t="s">
        <v>579</v>
      </c>
      <c r="G125" s="17" t="s">
        <v>575</v>
      </c>
      <c r="H125" s="17" t="s">
        <v>113</v>
      </c>
      <c r="I125" s="21" t="n">
        <v>180</v>
      </c>
      <c r="J125" s="17"/>
    </row>
    <row r="126" customFormat="false" ht="26.25" hidden="false" customHeight="true" outlineLevel="0" collapsed="false">
      <c r="A126" s="17" t="s">
        <v>698</v>
      </c>
      <c r="B126" s="20" t="n">
        <v>46090</v>
      </c>
      <c r="C126" s="17" t="s">
        <v>243</v>
      </c>
      <c r="D126" s="17" t="s">
        <v>479</v>
      </c>
      <c r="E126" s="17" t="s">
        <v>512</v>
      </c>
      <c r="F126" s="8" t="s">
        <v>601</v>
      </c>
      <c r="G126" s="17" t="s">
        <v>571</v>
      </c>
      <c r="H126" s="17" t="s">
        <v>113</v>
      </c>
      <c r="I126" s="21" t="n">
        <v>2600</v>
      </c>
      <c r="J126" s="17"/>
    </row>
    <row r="127" customFormat="false" ht="26.25" hidden="false" customHeight="true" outlineLevel="0" collapsed="false">
      <c r="A127" s="17" t="s">
        <v>699</v>
      </c>
      <c r="B127" s="20" t="n">
        <v>46139</v>
      </c>
      <c r="C127" s="17" t="s">
        <v>194</v>
      </c>
      <c r="D127" s="17" t="s">
        <v>351</v>
      </c>
      <c r="E127" s="17" t="s">
        <v>502</v>
      </c>
      <c r="F127" s="8" t="s">
        <v>570</v>
      </c>
      <c r="G127" s="17" t="s">
        <v>571</v>
      </c>
      <c r="H127" s="17" t="s">
        <v>108</v>
      </c>
      <c r="I127" s="21" t="n">
        <v>85</v>
      </c>
      <c r="J127" s="17" t="n">
        <v>7</v>
      </c>
    </row>
    <row r="128" customFormat="false" ht="26.25" hidden="false" customHeight="true" outlineLevel="0" collapsed="false">
      <c r="A128" s="17" t="s">
        <v>700</v>
      </c>
      <c r="B128" s="20" t="n">
        <v>46134</v>
      </c>
      <c r="C128" s="17" t="s">
        <v>213</v>
      </c>
      <c r="D128" s="17" t="s">
        <v>406</v>
      </c>
      <c r="E128" s="17" t="s">
        <v>514</v>
      </c>
      <c r="F128" s="8" t="s">
        <v>564</v>
      </c>
      <c r="G128" s="17" t="s">
        <v>575</v>
      </c>
      <c r="H128" s="17" t="s">
        <v>108</v>
      </c>
      <c r="I128" s="21" t="n">
        <v>1800</v>
      </c>
      <c r="J128" s="17" t="n">
        <v>4</v>
      </c>
    </row>
    <row r="129" customFormat="false" ht="26.25" hidden="false" customHeight="true" outlineLevel="0" collapsed="false">
      <c r="A129" s="17" t="s">
        <v>701</v>
      </c>
      <c r="B129" s="20" t="n">
        <v>46045</v>
      </c>
      <c r="C129" s="17" t="s">
        <v>213</v>
      </c>
      <c r="D129" s="17" t="s">
        <v>403</v>
      </c>
      <c r="E129" s="17" t="s">
        <v>514</v>
      </c>
      <c r="F129" s="8" t="s">
        <v>601</v>
      </c>
      <c r="G129" s="17" t="s">
        <v>568</v>
      </c>
      <c r="H129" s="17" t="s">
        <v>108</v>
      </c>
      <c r="I129" s="21" t="n">
        <v>340</v>
      </c>
      <c r="J129" s="17" t="n">
        <v>6</v>
      </c>
    </row>
    <row r="130" customFormat="false" ht="26.25" hidden="false" customHeight="true" outlineLevel="0" collapsed="false">
      <c r="A130" s="17" t="s">
        <v>702</v>
      </c>
      <c r="B130" s="20" t="n">
        <v>46085</v>
      </c>
      <c r="C130" s="17" t="s">
        <v>234</v>
      </c>
      <c r="D130" s="17" t="s">
        <v>456</v>
      </c>
      <c r="E130" s="17" t="s">
        <v>506</v>
      </c>
      <c r="F130" s="8" t="s">
        <v>567</v>
      </c>
      <c r="G130" s="17" t="s">
        <v>568</v>
      </c>
      <c r="H130" s="17" t="s">
        <v>113</v>
      </c>
      <c r="I130" s="21" t="n">
        <v>340</v>
      </c>
      <c r="J130" s="17"/>
    </row>
    <row r="131" customFormat="false" ht="26.25" hidden="false" customHeight="true" outlineLevel="0" collapsed="false">
      <c r="A131" s="17" t="s">
        <v>703</v>
      </c>
      <c r="B131" s="20" t="n">
        <v>46098</v>
      </c>
      <c r="C131" s="17" t="s">
        <v>198</v>
      </c>
      <c r="D131" s="17" t="s">
        <v>366</v>
      </c>
      <c r="E131" s="17" t="s">
        <v>512</v>
      </c>
      <c r="F131" s="8" t="s">
        <v>564</v>
      </c>
      <c r="G131" s="17" t="s">
        <v>565</v>
      </c>
      <c r="H131" s="17" t="s">
        <v>589</v>
      </c>
      <c r="I131" s="21" t="n">
        <v>180</v>
      </c>
      <c r="J131" s="17"/>
    </row>
    <row r="132" customFormat="false" ht="26.25" hidden="false" customHeight="true" outlineLevel="0" collapsed="false">
      <c r="A132" s="17" t="s">
        <v>704</v>
      </c>
      <c r="B132" s="20" t="n">
        <v>46092</v>
      </c>
      <c r="C132" s="17" t="s">
        <v>234</v>
      </c>
      <c r="D132" s="17" t="s">
        <v>457</v>
      </c>
      <c r="E132" s="17" t="s">
        <v>504</v>
      </c>
      <c r="F132" s="8" t="s">
        <v>573</v>
      </c>
      <c r="G132" s="17" t="s">
        <v>575</v>
      </c>
      <c r="H132" s="17" t="s">
        <v>105</v>
      </c>
      <c r="I132" s="21" t="n">
        <v>480</v>
      </c>
      <c r="J132" s="17"/>
    </row>
    <row r="133" customFormat="false" ht="26.25" hidden="false" customHeight="true" outlineLevel="0" collapsed="false">
      <c r="A133" s="17" t="s">
        <v>705</v>
      </c>
      <c r="B133" s="20" t="n">
        <v>46132</v>
      </c>
      <c r="C133" s="17" t="s">
        <v>167</v>
      </c>
      <c r="D133" s="17" t="s">
        <v>296</v>
      </c>
      <c r="E133" s="17" t="s">
        <v>506</v>
      </c>
      <c r="F133" s="8" t="s">
        <v>573</v>
      </c>
      <c r="G133" s="17" t="s">
        <v>568</v>
      </c>
      <c r="H133" s="17" t="s">
        <v>113</v>
      </c>
      <c r="I133" s="21" t="n">
        <v>180</v>
      </c>
      <c r="J133" s="17"/>
    </row>
    <row r="134" customFormat="false" ht="26.25" hidden="false" customHeight="true" outlineLevel="0" collapsed="false">
      <c r="A134" s="17" t="s">
        <v>706</v>
      </c>
      <c r="B134" s="20" t="n">
        <v>46131</v>
      </c>
      <c r="C134" s="17" t="s">
        <v>219</v>
      </c>
      <c r="D134" s="17" t="s">
        <v>415</v>
      </c>
      <c r="E134" s="17" t="s">
        <v>502</v>
      </c>
      <c r="F134" s="8" t="s">
        <v>579</v>
      </c>
      <c r="G134" s="17" t="s">
        <v>565</v>
      </c>
      <c r="H134" s="17" t="s">
        <v>105</v>
      </c>
      <c r="I134" s="21" t="n">
        <v>340</v>
      </c>
      <c r="J134" s="17"/>
    </row>
    <row r="135" customFormat="false" ht="26.25" hidden="false" customHeight="true" outlineLevel="0" collapsed="false">
      <c r="A135" s="17" t="s">
        <v>707</v>
      </c>
      <c r="B135" s="20" t="n">
        <v>46071</v>
      </c>
      <c r="C135" s="17" t="s">
        <v>226</v>
      </c>
      <c r="D135" s="17" t="s">
        <v>434</v>
      </c>
      <c r="E135" s="17" t="s">
        <v>514</v>
      </c>
      <c r="F135" s="8" t="s">
        <v>570</v>
      </c>
      <c r="G135" s="17" t="s">
        <v>568</v>
      </c>
      <c r="H135" s="17" t="s">
        <v>589</v>
      </c>
      <c r="I135" s="21" t="n">
        <v>340</v>
      </c>
      <c r="J135" s="17"/>
    </row>
    <row r="136" customFormat="false" ht="26.25" hidden="false" customHeight="true" outlineLevel="0" collapsed="false">
      <c r="A136" s="17" t="s">
        <v>708</v>
      </c>
      <c r="B136" s="20" t="n">
        <v>46029</v>
      </c>
      <c r="C136" s="17" t="s">
        <v>200</v>
      </c>
      <c r="D136" s="17" t="s">
        <v>370</v>
      </c>
      <c r="E136" s="17" t="s">
        <v>502</v>
      </c>
      <c r="F136" s="8" t="s">
        <v>579</v>
      </c>
      <c r="G136" s="17" t="s">
        <v>571</v>
      </c>
      <c r="H136" s="17" t="s">
        <v>108</v>
      </c>
      <c r="I136" s="21" t="n">
        <v>2600</v>
      </c>
      <c r="J136" s="17" t="n">
        <v>6</v>
      </c>
    </row>
    <row r="137" customFormat="false" ht="26.25" hidden="false" customHeight="true" outlineLevel="0" collapsed="false">
      <c r="A137" s="17" t="s">
        <v>709</v>
      </c>
      <c r="B137" s="20" t="n">
        <v>46033</v>
      </c>
      <c r="C137" s="17" t="s">
        <v>172</v>
      </c>
      <c r="D137" s="17" t="s">
        <v>299</v>
      </c>
      <c r="E137" s="17" t="s">
        <v>508</v>
      </c>
      <c r="F137" s="8" t="s">
        <v>601</v>
      </c>
      <c r="G137" s="17" t="s">
        <v>575</v>
      </c>
      <c r="H137" s="17" t="s">
        <v>108</v>
      </c>
      <c r="I137" s="21" t="n">
        <v>620</v>
      </c>
      <c r="J137" s="17" t="n">
        <v>12</v>
      </c>
    </row>
    <row r="138" customFormat="false" ht="26.25" hidden="false" customHeight="true" outlineLevel="0" collapsed="false">
      <c r="A138" s="17" t="s">
        <v>710</v>
      </c>
      <c r="B138" s="20" t="n">
        <v>46085</v>
      </c>
      <c r="C138" s="17" t="s">
        <v>184</v>
      </c>
      <c r="D138" s="17" t="s">
        <v>331</v>
      </c>
      <c r="E138" s="17" t="s">
        <v>512</v>
      </c>
      <c r="F138" s="8" t="s">
        <v>567</v>
      </c>
      <c r="G138" s="17" t="s">
        <v>568</v>
      </c>
      <c r="H138" s="17" t="s">
        <v>108</v>
      </c>
      <c r="I138" s="21" t="n">
        <v>480</v>
      </c>
      <c r="J138" s="17" t="n">
        <v>3</v>
      </c>
    </row>
    <row r="139" customFormat="false" ht="26.25" hidden="false" customHeight="true" outlineLevel="0" collapsed="false">
      <c r="A139" s="17" t="s">
        <v>711</v>
      </c>
      <c r="B139" s="20" t="n">
        <v>46025</v>
      </c>
      <c r="C139" s="17" t="s">
        <v>208</v>
      </c>
      <c r="D139" s="17" t="s">
        <v>395</v>
      </c>
      <c r="E139" s="17" t="s">
        <v>504</v>
      </c>
      <c r="F139" s="8" t="s">
        <v>579</v>
      </c>
      <c r="G139" s="17" t="s">
        <v>575</v>
      </c>
      <c r="H139" s="17" t="s">
        <v>105</v>
      </c>
      <c r="I139" s="21" t="n">
        <v>120</v>
      </c>
      <c r="J139" s="17"/>
    </row>
    <row r="140" customFormat="false" ht="26.25" hidden="false" customHeight="true" outlineLevel="0" collapsed="false">
      <c r="A140" s="17" t="s">
        <v>712</v>
      </c>
      <c r="B140" s="20" t="n">
        <v>46037</v>
      </c>
      <c r="C140" s="17" t="s">
        <v>243</v>
      </c>
      <c r="D140" s="17" t="s">
        <v>478</v>
      </c>
      <c r="E140" s="17" t="s">
        <v>510</v>
      </c>
      <c r="F140" s="8" t="s">
        <v>567</v>
      </c>
      <c r="G140" s="17" t="s">
        <v>575</v>
      </c>
      <c r="H140" s="17" t="s">
        <v>589</v>
      </c>
      <c r="I140" s="21" t="n">
        <v>1800</v>
      </c>
      <c r="J140" s="17"/>
    </row>
    <row r="141" customFormat="false" ht="26.25" hidden="false" customHeight="true" outlineLevel="0" collapsed="false">
      <c r="A141" s="17" t="s">
        <v>713</v>
      </c>
      <c r="B141" s="20" t="n">
        <v>46044</v>
      </c>
      <c r="C141" s="17" t="s">
        <v>224</v>
      </c>
      <c r="D141" s="17" t="s">
        <v>428</v>
      </c>
      <c r="E141" s="17" t="s">
        <v>506</v>
      </c>
      <c r="F141" s="8" t="s">
        <v>573</v>
      </c>
      <c r="G141" s="17" t="s">
        <v>571</v>
      </c>
      <c r="H141" s="17" t="s">
        <v>113</v>
      </c>
      <c r="I141" s="21" t="n">
        <v>120</v>
      </c>
      <c r="J141" s="17"/>
    </row>
    <row r="142" customFormat="false" ht="26.25" hidden="false" customHeight="true" outlineLevel="0" collapsed="false">
      <c r="A142" s="17" t="s">
        <v>714</v>
      </c>
      <c r="B142" s="20" t="n">
        <v>46028</v>
      </c>
      <c r="C142" s="17" t="s">
        <v>216</v>
      </c>
      <c r="D142" s="17" t="s">
        <v>409</v>
      </c>
      <c r="E142" s="17" t="s">
        <v>500</v>
      </c>
      <c r="F142" s="8" t="s">
        <v>570</v>
      </c>
      <c r="G142" s="17" t="s">
        <v>575</v>
      </c>
      <c r="H142" s="17" t="s">
        <v>108</v>
      </c>
      <c r="I142" s="21" t="n">
        <v>120</v>
      </c>
      <c r="J142" s="17" t="n">
        <v>4</v>
      </c>
    </row>
    <row r="143" customFormat="false" ht="26.25" hidden="false" customHeight="true" outlineLevel="0" collapsed="false">
      <c r="A143" s="17" t="s">
        <v>715</v>
      </c>
      <c r="B143" s="20" t="n">
        <v>46139</v>
      </c>
      <c r="C143" s="17" t="s">
        <v>194</v>
      </c>
      <c r="D143" s="17" t="s">
        <v>359</v>
      </c>
      <c r="E143" s="17" t="s">
        <v>508</v>
      </c>
      <c r="F143" s="8" t="s">
        <v>567</v>
      </c>
      <c r="G143" s="17" t="s">
        <v>575</v>
      </c>
      <c r="H143" s="17" t="s">
        <v>108</v>
      </c>
      <c r="I143" s="21" t="n">
        <v>180</v>
      </c>
      <c r="J143" s="17" t="n">
        <v>5</v>
      </c>
    </row>
    <row r="144" customFormat="false" ht="26.25" hidden="false" customHeight="true" outlineLevel="0" collapsed="false">
      <c r="A144" s="17" t="s">
        <v>716</v>
      </c>
      <c r="B144" s="20" t="n">
        <v>46027</v>
      </c>
      <c r="C144" s="17" t="s">
        <v>188</v>
      </c>
      <c r="D144" s="17" t="s">
        <v>338</v>
      </c>
      <c r="E144" s="17" t="s">
        <v>510</v>
      </c>
      <c r="F144" s="8" t="s">
        <v>579</v>
      </c>
      <c r="G144" s="17" t="s">
        <v>575</v>
      </c>
      <c r="H144" s="17" t="s">
        <v>108</v>
      </c>
      <c r="I144" s="21" t="n">
        <v>1800</v>
      </c>
      <c r="J144" s="17" t="n">
        <v>10</v>
      </c>
    </row>
    <row r="145" customFormat="false" ht="26.25" hidden="false" customHeight="true" outlineLevel="0" collapsed="false">
      <c r="A145" s="17" t="s">
        <v>717</v>
      </c>
      <c r="B145" s="20" t="n">
        <v>46087</v>
      </c>
      <c r="C145" s="17" t="s">
        <v>234</v>
      </c>
      <c r="D145" s="17" t="s">
        <v>452</v>
      </c>
      <c r="E145" s="17" t="s">
        <v>514</v>
      </c>
      <c r="F145" s="8" t="s">
        <v>564</v>
      </c>
      <c r="G145" s="17" t="s">
        <v>571</v>
      </c>
      <c r="H145" s="17" t="s">
        <v>589</v>
      </c>
      <c r="I145" s="21" t="n">
        <v>620</v>
      </c>
      <c r="J145" s="17"/>
    </row>
    <row r="146" customFormat="false" ht="26.25" hidden="false" customHeight="true" outlineLevel="0" collapsed="false">
      <c r="A146" s="17" t="s">
        <v>718</v>
      </c>
      <c r="B146" s="20" t="n">
        <v>46073</v>
      </c>
      <c r="C146" s="17" t="s">
        <v>243</v>
      </c>
      <c r="D146" s="17" t="s">
        <v>484</v>
      </c>
      <c r="E146" s="17" t="s">
        <v>506</v>
      </c>
      <c r="F146" s="8" t="s">
        <v>570</v>
      </c>
      <c r="G146" s="17" t="s">
        <v>571</v>
      </c>
      <c r="H146" s="17" t="s">
        <v>576</v>
      </c>
      <c r="I146" s="21" t="n">
        <v>120</v>
      </c>
      <c r="J146" s="17"/>
    </row>
    <row r="147" customFormat="false" ht="26.25" hidden="false" customHeight="true" outlineLevel="0" collapsed="false">
      <c r="A147" s="17" t="s">
        <v>719</v>
      </c>
      <c r="B147" s="20" t="n">
        <v>46061</v>
      </c>
      <c r="C147" s="17" t="s">
        <v>213</v>
      </c>
      <c r="D147" s="17" t="s">
        <v>403</v>
      </c>
      <c r="E147" s="17" t="s">
        <v>514</v>
      </c>
      <c r="F147" s="8" t="s">
        <v>570</v>
      </c>
      <c r="G147" s="17" t="s">
        <v>571</v>
      </c>
      <c r="H147" s="17" t="s">
        <v>108</v>
      </c>
      <c r="I147" s="21" t="n">
        <v>850</v>
      </c>
      <c r="J147" s="17" t="n">
        <v>9</v>
      </c>
    </row>
    <row r="148" customFormat="false" ht="26.25" hidden="false" customHeight="true" outlineLevel="0" collapsed="false">
      <c r="A148" s="17" t="s">
        <v>720</v>
      </c>
      <c r="B148" s="20" t="n">
        <v>46102</v>
      </c>
      <c r="C148" s="17" t="s">
        <v>175</v>
      </c>
      <c r="D148" s="17" t="s">
        <v>306</v>
      </c>
      <c r="E148" s="17" t="s">
        <v>506</v>
      </c>
      <c r="F148" s="8" t="s">
        <v>579</v>
      </c>
      <c r="G148" s="17" t="s">
        <v>568</v>
      </c>
      <c r="H148" s="17" t="s">
        <v>108</v>
      </c>
      <c r="I148" s="21" t="n">
        <v>480</v>
      </c>
      <c r="J148" s="17" t="n">
        <v>2</v>
      </c>
    </row>
    <row r="149" customFormat="false" ht="26.25" hidden="false" customHeight="true" outlineLevel="0" collapsed="false">
      <c r="A149" s="17" t="s">
        <v>721</v>
      </c>
      <c r="B149" s="20" t="n">
        <v>46140</v>
      </c>
      <c r="C149" s="17" t="s">
        <v>226</v>
      </c>
      <c r="D149" s="17" t="s">
        <v>437</v>
      </c>
      <c r="E149" s="17" t="s">
        <v>514</v>
      </c>
      <c r="F149" s="8" t="s">
        <v>573</v>
      </c>
      <c r="G149" s="17" t="s">
        <v>565</v>
      </c>
      <c r="H149" s="17" t="s">
        <v>113</v>
      </c>
      <c r="I149" s="21" t="n">
        <v>480</v>
      </c>
      <c r="J149" s="17"/>
    </row>
    <row r="150" customFormat="false" ht="26.25" hidden="false" customHeight="true" outlineLevel="0" collapsed="false">
      <c r="A150" s="17" t="s">
        <v>722</v>
      </c>
      <c r="B150" s="20" t="n">
        <v>46070</v>
      </c>
      <c r="C150" s="17" t="s">
        <v>162</v>
      </c>
      <c r="D150" s="17" t="s">
        <v>286</v>
      </c>
      <c r="E150" s="17" t="s">
        <v>512</v>
      </c>
      <c r="F150" s="8" t="s">
        <v>567</v>
      </c>
      <c r="G150" s="17" t="s">
        <v>575</v>
      </c>
      <c r="H150" s="17" t="s">
        <v>113</v>
      </c>
      <c r="I150" s="21" t="n">
        <v>180</v>
      </c>
      <c r="J150" s="17"/>
    </row>
    <row r="151" customFormat="false" ht="26.25" hidden="false" customHeight="true" outlineLevel="0" collapsed="false">
      <c r="A151" s="17" t="s">
        <v>723</v>
      </c>
      <c r="B151" s="20" t="n">
        <v>46023</v>
      </c>
      <c r="C151" s="17" t="s">
        <v>198</v>
      </c>
      <c r="D151" s="17" t="s">
        <v>364</v>
      </c>
      <c r="E151" s="17" t="s">
        <v>508</v>
      </c>
      <c r="F151" s="8" t="s">
        <v>567</v>
      </c>
      <c r="G151" s="17" t="s">
        <v>565</v>
      </c>
      <c r="H151" s="17" t="s">
        <v>113</v>
      </c>
      <c r="I151" s="21" t="n">
        <v>620</v>
      </c>
      <c r="J151" s="17"/>
    </row>
    <row r="152" customFormat="false" ht="26.25" hidden="false" customHeight="true" outlineLevel="0" collapsed="false">
      <c r="A152" s="17" t="s">
        <v>724</v>
      </c>
      <c r="B152" s="20" t="n">
        <v>46139</v>
      </c>
      <c r="C152" s="17" t="s">
        <v>237</v>
      </c>
      <c r="D152" s="17" t="s">
        <v>459</v>
      </c>
      <c r="E152" s="17" t="s">
        <v>504</v>
      </c>
      <c r="F152" s="8" t="s">
        <v>573</v>
      </c>
      <c r="G152" s="17" t="s">
        <v>568</v>
      </c>
      <c r="H152" s="17" t="s">
        <v>113</v>
      </c>
      <c r="I152" s="21" t="n">
        <v>1200</v>
      </c>
      <c r="J152" s="17"/>
    </row>
    <row r="153" customFormat="false" ht="26.25" hidden="false" customHeight="true" outlineLevel="0" collapsed="false">
      <c r="A153" s="17" t="s">
        <v>725</v>
      </c>
      <c r="B153" s="20" t="n">
        <v>46028</v>
      </c>
      <c r="C153" s="17" t="s">
        <v>223</v>
      </c>
      <c r="D153" s="17" t="s">
        <v>419</v>
      </c>
      <c r="E153" s="17" t="s">
        <v>506</v>
      </c>
      <c r="F153" s="8" t="s">
        <v>573</v>
      </c>
      <c r="G153" s="17" t="s">
        <v>571</v>
      </c>
      <c r="H153" s="17" t="s">
        <v>105</v>
      </c>
      <c r="I153" s="21" t="n">
        <v>850</v>
      </c>
      <c r="J153" s="17"/>
    </row>
    <row r="154" customFormat="false" ht="26.25" hidden="false" customHeight="true" outlineLevel="0" collapsed="false">
      <c r="A154" s="17" t="s">
        <v>726</v>
      </c>
      <c r="B154" s="20" t="n">
        <v>46083</v>
      </c>
      <c r="C154" s="17" t="s">
        <v>245</v>
      </c>
      <c r="D154" s="17" t="s">
        <v>487</v>
      </c>
      <c r="E154" s="17" t="s">
        <v>502</v>
      </c>
      <c r="F154" s="8" t="s">
        <v>570</v>
      </c>
      <c r="G154" s="17" t="s">
        <v>571</v>
      </c>
      <c r="H154" s="17" t="s">
        <v>589</v>
      </c>
      <c r="I154" s="21" t="n">
        <v>120</v>
      </c>
      <c r="J154" s="17"/>
    </row>
    <row r="155" customFormat="false" ht="26.25" hidden="false" customHeight="true" outlineLevel="0" collapsed="false">
      <c r="A155" s="17" t="s">
        <v>727</v>
      </c>
      <c r="B155" s="20" t="n">
        <v>46059</v>
      </c>
      <c r="C155" s="17" t="s">
        <v>243</v>
      </c>
      <c r="D155" s="17" t="s">
        <v>478</v>
      </c>
      <c r="E155" s="17" t="s">
        <v>510</v>
      </c>
      <c r="F155" s="8" t="s">
        <v>573</v>
      </c>
      <c r="G155" s="17" t="s">
        <v>575</v>
      </c>
      <c r="H155" s="17" t="s">
        <v>108</v>
      </c>
      <c r="I155" s="21" t="n">
        <v>2600</v>
      </c>
      <c r="J155" s="17" t="n">
        <v>13</v>
      </c>
    </row>
    <row r="156" customFormat="false" ht="26.25" hidden="false" customHeight="true" outlineLevel="0" collapsed="false">
      <c r="A156" s="17" t="s">
        <v>728</v>
      </c>
      <c r="B156" s="20" t="n">
        <v>46029</v>
      </c>
      <c r="C156" s="17" t="s">
        <v>192</v>
      </c>
      <c r="D156" s="17" t="s">
        <v>347</v>
      </c>
      <c r="E156" s="17" t="s">
        <v>500</v>
      </c>
      <c r="F156" s="8" t="s">
        <v>564</v>
      </c>
      <c r="G156" s="17" t="s">
        <v>575</v>
      </c>
      <c r="H156" s="17" t="s">
        <v>105</v>
      </c>
      <c r="I156" s="21" t="n">
        <v>1200</v>
      </c>
      <c r="J156" s="17"/>
    </row>
    <row r="157" customFormat="false" ht="26.25" hidden="false" customHeight="true" outlineLevel="0" collapsed="false">
      <c r="A157" s="17" t="s">
        <v>729</v>
      </c>
      <c r="B157" s="20" t="n">
        <v>46089</v>
      </c>
      <c r="C157" s="17" t="s">
        <v>207</v>
      </c>
      <c r="D157" s="17" t="s">
        <v>385</v>
      </c>
      <c r="E157" s="17" t="s">
        <v>512</v>
      </c>
      <c r="F157" s="8" t="s">
        <v>564</v>
      </c>
      <c r="G157" s="17" t="s">
        <v>575</v>
      </c>
      <c r="H157" s="17" t="s">
        <v>108</v>
      </c>
      <c r="I157" s="21" t="n">
        <v>85</v>
      </c>
      <c r="J157" s="17" t="n">
        <v>11</v>
      </c>
    </row>
    <row r="158" customFormat="false" ht="26.25" hidden="false" customHeight="true" outlineLevel="0" collapsed="false">
      <c r="A158" s="17" t="s">
        <v>730</v>
      </c>
      <c r="B158" s="20" t="n">
        <v>46067</v>
      </c>
      <c r="C158" s="17" t="s">
        <v>194</v>
      </c>
      <c r="D158" s="17" t="s">
        <v>355</v>
      </c>
      <c r="E158" s="17" t="s">
        <v>504</v>
      </c>
      <c r="F158" s="8" t="s">
        <v>601</v>
      </c>
      <c r="G158" s="17" t="s">
        <v>571</v>
      </c>
      <c r="H158" s="17" t="s">
        <v>113</v>
      </c>
      <c r="I158" s="21" t="n">
        <v>250</v>
      </c>
      <c r="J158" s="17"/>
    </row>
    <row r="159" customFormat="false" ht="26.25" hidden="false" customHeight="true" outlineLevel="0" collapsed="false">
      <c r="A159" s="17" t="s">
        <v>731</v>
      </c>
      <c r="B159" s="20" t="n">
        <v>46127</v>
      </c>
      <c r="C159" s="17" t="s">
        <v>175</v>
      </c>
      <c r="D159" s="17" t="s">
        <v>308</v>
      </c>
      <c r="E159" s="17" t="s">
        <v>510</v>
      </c>
      <c r="F159" s="8" t="s">
        <v>567</v>
      </c>
      <c r="G159" s="17" t="s">
        <v>571</v>
      </c>
      <c r="H159" s="17" t="s">
        <v>108</v>
      </c>
      <c r="I159" s="21" t="n">
        <v>1800</v>
      </c>
      <c r="J159" s="17" t="n">
        <v>9</v>
      </c>
    </row>
    <row r="160" customFormat="false" ht="26.25" hidden="false" customHeight="true" outlineLevel="0" collapsed="false">
      <c r="A160" s="17" t="s">
        <v>732</v>
      </c>
      <c r="B160" s="20" t="n">
        <v>46043</v>
      </c>
      <c r="C160" s="17" t="s">
        <v>240</v>
      </c>
      <c r="D160" s="17" t="s">
        <v>473</v>
      </c>
      <c r="E160" s="17" t="s">
        <v>512</v>
      </c>
      <c r="F160" s="8" t="s">
        <v>567</v>
      </c>
      <c r="G160" s="17" t="s">
        <v>565</v>
      </c>
      <c r="H160" s="17" t="s">
        <v>113</v>
      </c>
      <c r="I160" s="21" t="n">
        <v>120</v>
      </c>
      <c r="J160" s="17"/>
    </row>
    <row r="161" customFormat="false" ht="26.25" hidden="false" customHeight="true" outlineLevel="0" collapsed="false">
      <c r="A161" s="17" t="s">
        <v>733</v>
      </c>
      <c r="B161" s="20" t="n">
        <v>46057</v>
      </c>
      <c r="C161" s="17" t="s">
        <v>238</v>
      </c>
      <c r="D161" s="17" t="s">
        <v>468</v>
      </c>
      <c r="E161" s="17" t="s">
        <v>510</v>
      </c>
      <c r="F161" s="8" t="s">
        <v>573</v>
      </c>
      <c r="G161" s="17" t="s">
        <v>571</v>
      </c>
      <c r="H161" s="17" t="s">
        <v>105</v>
      </c>
      <c r="I161" s="21" t="n">
        <v>250</v>
      </c>
      <c r="J161" s="17"/>
    </row>
    <row r="162" customFormat="false" ht="26.25" hidden="false" customHeight="true" outlineLevel="0" collapsed="false">
      <c r="A162" s="17" t="s">
        <v>734</v>
      </c>
      <c r="B162" s="20" t="n">
        <v>46036</v>
      </c>
      <c r="C162" s="17" t="s">
        <v>207</v>
      </c>
      <c r="D162" s="17" t="s">
        <v>391</v>
      </c>
      <c r="E162" s="17" t="s">
        <v>506</v>
      </c>
      <c r="F162" s="8" t="s">
        <v>601</v>
      </c>
      <c r="G162" s="17" t="s">
        <v>571</v>
      </c>
      <c r="H162" s="17" t="s">
        <v>108</v>
      </c>
      <c r="I162" s="21" t="n">
        <v>620</v>
      </c>
      <c r="J162" s="17" t="n">
        <v>8</v>
      </c>
    </row>
    <row r="163" customFormat="false" ht="26.25" hidden="false" customHeight="true" outlineLevel="0" collapsed="false">
      <c r="A163" s="17" t="s">
        <v>735</v>
      </c>
      <c r="B163" s="20" t="n">
        <v>46058</v>
      </c>
      <c r="C163" s="17" t="s">
        <v>238</v>
      </c>
      <c r="D163" s="17" t="s">
        <v>466</v>
      </c>
      <c r="E163" s="17" t="s">
        <v>512</v>
      </c>
      <c r="F163" s="8" t="s">
        <v>567</v>
      </c>
      <c r="G163" s="17" t="s">
        <v>565</v>
      </c>
      <c r="H163" s="17" t="s">
        <v>105</v>
      </c>
      <c r="I163" s="21" t="n">
        <v>85</v>
      </c>
      <c r="J163" s="17"/>
    </row>
    <row r="164" customFormat="false" ht="26.25" hidden="false" customHeight="true" outlineLevel="0" collapsed="false">
      <c r="A164" s="17" t="s">
        <v>736</v>
      </c>
      <c r="B164" s="20" t="n">
        <v>46076</v>
      </c>
      <c r="C164" s="17" t="s">
        <v>198</v>
      </c>
      <c r="D164" s="17" t="s">
        <v>360</v>
      </c>
      <c r="E164" s="17" t="s">
        <v>514</v>
      </c>
      <c r="F164" s="8" t="s">
        <v>564</v>
      </c>
      <c r="G164" s="17" t="s">
        <v>568</v>
      </c>
      <c r="H164" s="17" t="s">
        <v>108</v>
      </c>
      <c r="I164" s="21" t="n">
        <v>2600</v>
      </c>
      <c r="J164" s="17" t="n">
        <v>4</v>
      </c>
    </row>
    <row r="165" customFormat="false" ht="26.25" hidden="false" customHeight="true" outlineLevel="0" collapsed="false">
      <c r="A165" s="17" t="s">
        <v>737</v>
      </c>
      <c r="B165" s="20" t="n">
        <v>46060</v>
      </c>
      <c r="C165" s="17" t="s">
        <v>237</v>
      </c>
      <c r="D165" s="17" t="s">
        <v>458</v>
      </c>
      <c r="E165" s="17" t="s">
        <v>514</v>
      </c>
      <c r="F165" s="8" t="s">
        <v>579</v>
      </c>
      <c r="G165" s="17" t="s">
        <v>571</v>
      </c>
      <c r="H165" s="17" t="s">
        <v>108</v>
      </c>
      <c r="I165" s="21" t="n">
        <v>480</v>
      </c>
      <c r="J165" s="17" t="n">
        <v>5</v>
      </c>
    </row>
    <row r="166" customFormat="false" ht="26.25" hidden="false" customHeight="true" outlineLevel="0" collapsed="false">
      <c r="A166" s="17" t="s">
        <v>738</v>
      </c>
      <c r="B166" s="20" t="n">
        <v>46124</v>
      </c>
      <c r="C166" s="17" t="s">
        <v>234</v>
      </c>
      <c r="D166" s="17" t="s">
        <v>452</v>
      </c>
      <c r="E166" s="17" t="s">
        <v>514</v>
      </c>
      <c r="F166" s="8" t="s">
        <v>570</v>
      </c>
      <c r="G166" s="17" t="s">
        <v>571</v>
      </c>
      <c r="H166" s="17" t="s">
        <v>113</v>
      </c>
      <c r="I166" s="21" t="n">
        <v>1200</v>
      </c>
      <c r="J166" s="17"/>
    </row>
    <row r="167" customFormat="false" ht="26.25" hidden="false" customHeight="true" outlineLevel="0" collapsed="false">
      <c r="A167" s="17" t="s">
        <v>739</v>
      </c>
      <c r="B167" s="20" t="n">
        <v>46046</v>
      </c>
      <c r="C167" s="17" t="s">
        <v>179</v>
      </c>
      <c r="D167" s="17" t="s">
        <v>325</v>
      </c>
      <c r="E167" s="17" t="s">
        <v>508</v>
      </c>
      <c r="F167" s="8" t="s">
        <v>601</v>
      </c>
      <c r="G167" s="17" t="s">
        <v>568</v>
      </c>
      <c r="H167" s="17" t="s">
        <v>589</v>
      </c>
      <c r="I167" s="21" t="n">
        <v>480</v>
      </c>
      <c r="J167" s="17"/>
    </row>
    <row r="168" customFormat="false" ht="26.25" hidden="false" customHeight="true" outlineLevel="0" collapsed="false">
      <c r="A168" s="17" t="s">
        <v>740</v>
      </c>
      <c r="B168" s="20" t="n">
        <v>46117</v>
      </c>
      <c r="C168" s="17" t="s">
        <v>240</v>
      </c>
      <c r="D168" s="17" t="s">
        <v>475</v>
      </c>
      <c r="E168" s="17" t="s">
        <v>502</v>
      </c>
      <c r="F168" s="8" t="s">
        <v>579</v>
      </c>
      <c r="G168" s="17" t="s">
        <v>575</v>
      </c>
      <c r="H168" s="17" t="s">
        <v>105</v>
      </c>
      <c r="I168" s="21" t="n">
        <v>1800</v>
      </c>
      <c r="J168" s="17"/>
    </row>
    <row r="169" customFormat="false" ht="26.25" hidden="false" customHeight="true" outlineLevel="0" collapsed="false">
      <c r="A169" s="17" t="s">
        <v>741</v>
      </c>
      <c r="B169" s="20" t="n">
        <v>46107</v>
      </c>
      <c r="C169" s="17" t="s">
        <v>207</v>
      </c>
      <c r="D169" s="17" t="s">
        <v>384</v>
      </c>
      <c r="E169" s="17" t="s">
        <v>510</v>
      </c>
      <c r="F169" s="8" t="s">
        <v>573</v>
      </c>
      <c r="G169" s="17" t="s">
        <v>571</v>
      </c>
      <c r="H169" s="17" t="s">
        <v>108</v>
      </c>
      <c r="I169" s="21" t="n">
        <v>620</v>
      </c>
      <c r="J169" s="17" t="n">
        <v>10</v>
      </c>
    </row>
    <row r="170" customFormat="false" ht="26.25" hidden="false" customHeight="true" outlineLevel="0" collapsed="false">
      <c r="A170" s="17" t="s">
        <v>742</v>
      </c>
      <c r="B170" s="20" t="n">
        <v>46030</v>
      </c>
      <c r="C170" s="17" t="s">
        <v>211</v>
      </c>
      <c r="D170" s="17" t="s">
        <v>399</v>
      </c>
      <c r="E170" s="17" t="s">
        <v>502</v>
      </c>
      <c r="F170" s="8" t="s">
        <v>567</v>
      </c>
      <c r="G170" s="17" t="s">
        <v>575</v>
      </c>
      <c r="H170" s="17" t="s">
        <v>108</v>
      </c>
      <c r="I170" s="21" t="n">
        <v>120</v>
      </c>
      <c r="J170" s="17" t="n">
        <v>4</v>
      </c>
    </row>
    <row r="171" customFormat="false" ht="26.25" hidden="false" customHeight="true" outlineLevel="0" collapsed="false">
      <c r="A171" s="17" t="s">
        <v>743</v>
      </c>
      <c r="B171" s="20" t="n">
        <v>46025</v>
      </c>
      <c r="C171" s="17" t="s">
        <v>237</v>
      </c>
      <c r="D171" s="17" t="s">
        <v>460</v>
      </c>
      <c r="E171" s="17" t="s">
        <v>506</v>
      </c>
      <c r="F171" s="8" t="s">
        <v>564</v>
      </c>
      <c r="G171" s="17" t="s">
        <v>571</v>
      </c>
      <c r="H171" s="17" t="s">
        <v>113</v>
      </c>
      <c r="I171" s="21" t="n">
        <v>480</v>
      </c>
      <c r="J171" s="17"/>
    </row>
    <row r="172" customFormat="false" ht="26.25" hidden="false" customHeight="true" outlineLevel="0" collapsed="false">
      <c r="A172" s="17" t="s">
        <v>744</v>
      </c>
      <c r="B172" s="20" t="n">
        <v>46102</v>
      </c>
      <c r="C172" s="17" t="s">
        <v>243</v>
      </c>
      <c r="D172" s="17" t="s">
        <v>486</v>
      </c>
      <c r="E172" s="17" t="s">
        <v>504</v>
      </c>
      <c r="F172" s="8" t="s">
        <v>564</v>
      </c>
      <c r="G172" s="17" t="s">
        <v>568</v>
      </c>
      <c r="H172" s="17" t="s">
        <v>108</v>
      </c>
      <c r="I172" s="21" t="n">
        <v>1200</v>
      </c>
      <c r="J172" s="17" t="n">
        <v>1</v>
      </c>
    </row>
    <row r="173" customFormat="false" ht="26.25" hidden="false" customHeight="true" outlineLevel="0" collapsed="false">
      <c r="A173" s="17" t="s">
        <v>745</v>
      </c>
      <c r="B173" s="20" t="n">
        <v>46122</v>
      </c>
      <c r="C173" s="17" t="s">
        <v>216</v>
      </c>
      <c r="D173" s="17" t="s">
        <v>410</v>
      </c>
      <c r="E173" s="17" t="s">
        <v>506</v>
      </c>
      <c r="F173" s="8" t="s">
        <v>570</v>
      </c>
      <c r="G173" s="17" t="s">
        <v>571</v>
      </c>
      <c r="H173" s="17" t="s">
        <v>108</v>
      </c>
      <c r="I173" s="21" t="n">
        <v>250</v>
      </c>
      <c r="J173" s="17" t="n">
        <v>3</v>
      </c>
    </row>
    <row r="174" customFormat="false" ht="26.25" hidden="false" customHeight="true" outlineLevel="0" collapsed="false">
      <c r="A174" s="17" t="s">
        <v>746</v>
      </c>
      <c r="B174" s="20" t="n">
        <v>46084</v>
      </c>
      <c r="C174" s="17" t="s">
        <v>198</v>
      </c>
      <c r="D174" s="17" t="s">
        <v>364</v>
      </c>
      <c r="E174" s="17" t="s">
        <v>508</v>
      </c>
      <c r="F174" s="8" t="s">
        <v>567</v>
      </c>
      <c r="G174" s="17" t="s">
        <v>575</v>
      </c>
      <c r="H174" s="17" t="s">
        <v>105</v>
      </c>
      <c r="I174" s="21" t="n">
        <v>480</v>
      </c>
      <c r="J174" s="17"/>
    </row>
    <row r="175" customFormat="false" ht="26.25" hidden="false" customHeight="true" outlineLevel="0" collapsed="false">
      <c r="A175" s="17" t="s">
        <v>747</v>
      </c>
      <c r="B175" s="20" t="n">
        <v>46033</v>
      </c>
      <c r="C175" s="17" t="s">
        <v>234</v>
      </c>
      <c r="D175" s="17" t="s">
        <v>450</v>
      </c>
      <c r="E175" s="17" t="s">
        <v>508</v>
      </c>
      <c r="F175" s="8" t="s">
        <v>570</v>
      </c>
      <c r="G175" s="17" t="s">
        <v>571</v>
      </c>
      <c r="H175" s="17" t="s">
        <v>105</v>
      </c>
      <c r="I175" s="21" t="n">
        <v>480</v>
      </c>
      <c r="J175" s="17"/>
    </row>
    <row r="176" customFormat="false" ht="26.25" hidden="false" customHeight="true" outlineLevel="0" collapsed="false">
      <c r="A176" s="17" t="s">
        <v>748</v>
      </c>
      <c r="B176" s="20" t="n">
        <v>46083</v>
      </c>
      <c r="C176" s="17" t="s">
        <v>172</v>
      </c>
      <c r="D176" s="17" t="s">
        <v>305</v>
      </c>
      <c r="E176" s="17" t="s">
        <v>504</v>
      </c>
      <c r="F176" s="8" t="s">
        <v>564</v>
      </c>
      <c r="G176" s="17" t="s">
        <v>565</v>
      </c>
      <c r="H176" s="17" t="s">
        <v>108</v>
      </c>
      <c r="I176" s="21" t="n">
        <v>340</v>
      </c>
      <c r="J176" s="17" t="n">
        <v>1</v>
      </c>
    </row>
    <row r="177" customFormat="false" ht="26.25" hidden="false" customHeight="true" outlineLevel="0" collapsed="false">
      <c r="A177" s="17" t="s">
        <v>749</v>
      </c>
      <c r="B177" s="20" t="n">
        <v>46050</v>
      </c>
      <c r="C177" s="17" t="s">
        <v>213</v>
      </c>
      <c r="D177" s="17" t="s">
        <v>407</v>
      </c>
      <c r="E177" s="17" t="s">
        <v>510</v>
      </c>
      <c r="F177" s="8" t="s">
        <v>573</v>
      </c>
      <c r="G177" s="17" t="s">
        <v>571</v>
      </c>
      <c r="H177" s="17" t="s">
        <v>589</v>
      </c>
      <c r="I177" s="21" t="n">
        <v>2600</v>
      </c>
      <c r="J177" s="17"/>
    </row>
    <row r="178" customFormat="false" ht="26.25" hidden="false" customHeight="true" outlineLevel="0" collapsed="false">
      <c r="A178" s="17" t="s">
        <v>750</v>
      </c>
      <c r="B178" s="20" t="n">
        <v>46116</v>
      </c>
      <c r="C178" s="17" t="s">
        <v>188</v>
      </c>
      <c r="D178" s="17" t="s">
        <v>339</v>
      </c>
      <c r="E178" s="17" t="s">
        <v>506</v>
      </c>
      <c r="F178" s="8" t="s">
        <v>570</v>
      </c>
      <c r="G178" s="17" t="s">
        <v>575</v>
      </c>
      <c r="H178" s="17" t="s">
        <v>113</v>
      </c>
      <c r="I178" s="21" t="n">
        <v>85</v>
      </c>
      <c r="J178" s="17"/>
    </row>
    <row r="179" customFormat="false" ht="26.25" hidden="false" customHeight="true" outlineLevel="0" collapsed="false">
      <c r="A179" s="17" t="s">
        <v>751</v>
      </c>
      <c r="B179" s="20" t="n">
        <v>46132</v>
      </c>
      <c r="C179" s="17" t="s">
        <v>198</v>
      </c>
      <c r="D179" s="17" t="s">
        <v>368</v>
      </c>
      <c r="E179" s="17" t="s">
        <v>514</v>
      </c>
      <c r="F179" s="8" t="s">
        <v>573</v>
      </c>
      <c r="G179" s="17" t="s">
        <v>575</v>
      </c>
      <c r="H179" s="17" t="s">
        <v>105</v>
      </c>
      <c r="I179" s="21" t="n">
        <v>180</v>
      </c>
      <c r="J179" s="17"/>
    </row>
    <row r="180" customFormat="false" ht="26.25" hidden="false" customHeight="true" outlineLevel="0" collapsed="false">
      <c r="A180" s="17" t="s">
        <v>752</v>
      </c>
      <c r="B180" s="20" t="n">
        <v>46041</v>
      </c>
      <c r="C180" s="17" t="s">
        <v>240</v>
      </c>
      <c r="D180" s="17" t="s">
        <v>477</v>
      </c>
      <c r="E180" s="17" t="s">
        <v>514</v>
      </c>
      <c r="F180" s="8" t="s">
        <v>601</v>
      </c>
      <c r="G180" s="17" t="s">
        <v>571</v>
      </c>
      <c r="H180" s="17" t="s">
        <v>108</v>
      </c>
      <c r="I180" s="21" t="n">
        <v>2600</v>
      </c>
      <c r="J180" s="17" t="n">
        <v>3</v>
      </c>
    </row>
    <row r="181" customFormat="false" ht="26.25" hidden="false" customHeight="true" outlineLevel="0" collapsed="false">
      <c r="A181" s="17" t="s">
        <v>753</v>
      </c>
      <c r="B181" s="20" t="n">
        <v>46134</v>
      </c>
      <c r="C181" s="17" t="s">
        <v>198</v>
      </c>
      <c r="D181" s="17" t="s">
        <v>364</v>
      </c>
      <c r="E181" s="17" t="s">
        <v>508</v>
      </c>
      <c r="F181" s="8" t="s">
        <v>570</v>
      </c>
      <c r="G181" s="17" t="s">
        <v>575</v>
      </c>
      <c r="H181" s="17" t="s">
        <v>589</v>
      </c>
      <c r="I181" s="21" t="n">
        <v>180</v>
      </c>
      <c r="J181" s="17"/>
    </row>
    <row r="182" customFormat="false" ht="26.25" hidden="false" customHeight="true" outlineLevel="0" collapsed="false">
      <c r="A182" s="17" t="s">
        <v>754</v>
      </c>
      <c r="B182" s="20" t="n">
        <v>46139</v>
      </c>
      <c r="C182" s="17" t="s">
        <v>238</v>
      </c>
      <c r="D182" s="17" t="s">
        <v>467</v>
      </c>
      <c r="E182" s="17" t="s">
        <v>510</v>
      </c>
      <c r="F182" s="8" t="s">
        <v>567</v>
      </c>
      <c r="G182" s="17" t="s">
        <v>571</v>
      </c>
      <c r="H182" s="17" t="s">
        <v>108</v>
      </c>
      <c r="I182" s="21" t="n">
        <v>1800</v>
      </c>
      <c r="J182" s="17" t="n">
        <v>7</v>
      </c>
    </row>
    <row r="183" customFormat="false" ht="26.25" hidden="false" customHeight="true" outlineLevel="0" collapsed="false">
      <c r="A183" s="17" t="s">
        <v>755</v>
      </c>
      <c r="B183" s="20" t="n">
        <v>46121</v>
      </c>
      <c r="C183" s="17" t="s">
        <v>172</v>
      </c>
      <c r="D183" s="17" t="s">
        <v>299</v>
      </c>
      <c r="E183" s="17" t="s">
        <v>508</v>
      </c>
      <c r="F183" s="8" t="s">
        <v>579</v>
      </c>
      <c r="G183" s="17" t="s">
        <v>565</v>
      </c>
      <c r="H183" s="17" t="s">
        <v>113</v>
      </c>
      <c r="I183" s="21" t="n">
        <v>2600</v>
      </c>
      <c r="J183" s="17"/>
    </row>
    <row r="184" customFormat="false" ht="26.25" hidden="false" customHeight="true" outlineLevel="0" collapsed="false">
      <c r="A184" s="17" t="s">
        <v>756</v>
      </c>
      <c r="B184" s="20" t="n">
        <v>46140</v>
      </c>
      <c r="C184" s="17" t="s">
        <v>175</v>
      </c>
      <c r="D184" s="17" t="s">
        <v>312</v>
      </c>
      <c r="E184" s="17" t="s">
        <v>510</v>
      </c>
      <c r="F184" s="8" t="s">
        <v>567</v>
      </c>
      <c r="G184" s="17" t="s">
        <v>565</v>
      </c>
      <c r="H184" s="17" t="s">
        <v>105</v>
      </c>
      <c r="I184" s="21" t="n">
        <v>1200</v>
      </c>
      <c r="J184" s="17"/>
    </row>
    <row r="185" customFormat="false" ht="26.25" hidden="false" customHeight="true" outlineLevel="0" collapsed="false">
      <c r="A185" s="17" t="s">
        <v>757</v>
      </c>
      <c r="B185" s="20" t="n">
        <v>46087</v>
      </c>
      <c r="C185" s="17" t="s">
        <v>213</v>
      </c>
      <c r="D185" s="17" t="s">
        <v>407</v>
      </c>
      <c r="E185" s="17" t="s">
        <v>510</v>
      </c>
      <c r="F185" s="8" t="s">
        <v>570</v>
      </c>
      <c r="G185" s="17" t="s">
        <v>565</v>
      </c>
      <c r="H185" s="17" t="s">
        <v>105</v>
      </c>
      <c r="I185" s="21" t="n">
        <v>2600</v>
      </c>
      <c r="J185" s="17"/>
    </row>
    <row r="186" customFormat="false" ht="26.25" hidden="false" customHeight="true" outlineLevel="0" collapsed="false">
      <c r="A186" s="17" t="s">
        <v>758</v>
      </c>
      <c r="B186" s="20" t="n">
        <v>46088</v>
      </c>
      <c r="C186" s="17" t="s">
        <v>208</v>
      </c>
      <c r="D186" s="17" t="s">
        <v>392</v>
      </c>
      <c r="E186" s="17" t="s">
        <v>504</v>
      </c>
      <c r="F186" s="8" t="s">
        <v>573</v>
      </c>
      <c r="G186" s="17" t="s">
        <v>575</v>
      </c>
      <c r="H186" s="17" t="s">
        <v>108</v>
      </c>
      <c r="I186" s="21" t="n">
        <v>620</v>
      </c>
      <c r="J186" s="17" t="n">
        <v>11</v>
      </c>
    </row>
    <row r="187" customFormat="false" ht="26.25" hidden="false" customHeight="true" outlineLevel="0" collapsed="false">
      <c r="A187" s="17" t="s">
        <v>759</v>
      </c>
      <c r="B187" s="20" t="n">
        <v>46075</v>
      </c>
      <c r="C187" s="17" t="s">
        <v>157</v>
      </c>
      <c r="D187" s="17" t="s">
        <v>277</v>
      </c>
      <c r="E187" s="17" t="s">
        <v>502</v>
      </c>
      <c r="F187" s="8" t="s">
        <v>567</v>
      </c>
      <c r="G187" s="17" t="s">
        <v>575</v>
      </c>
      <c r="H187" s="17" t="s">
        <v>589</v>
      </c>
      <c r="I187" s="21" t="n">
        <v>1800</v>
      </c>
      <c r="J187" s="17"/>
    </row>
    <row r="188" customFormat="false" ht="26.25" hidden="false" customHeight="true" outlineLevel="0" collapsed="false">
      <c r="A188" s="17" t="s">
        <v>760</v>
      </c>
      <c r="B188" s="20" t="n">
        <v>46047</v>
      </c>
      <c r="C188" s="17" t="s">
        <v>237</v>
      </c>
      <c r="D188" s="17" t="s">
        <v>460</v>
      </c>
      <c r="E188" s="17" t="s">
        <v>506</v>
      </c>
      <c r="F188" s="8" t="s">
        <v>573</v>
      </c>
      <c r="G188" s="17" t="s">
        <v>571</v>
      </c>
      <c r="H188" s="17" t="s">
        <v>113</v>
      </c>
      <c r="I188" s="21" t="n">
        <v>1800</v>
      </c>
      <c r="J188" s="17"/>
    </row>
    <row r="189" customFormat="false" ht="26.25" hidden="false" customHeight="true" outlineLevel="0" collapsed="false">
      <c r="A189" s="17" t="s">
        <v>761</v>
      </c>
      <c r="B189" s="20" t="n">
        <v>46024</v>
      </c>
      <c r="C189" s="17" t="s">
        <v>204</v>
      </c>
      <c r="D189" s="17" t="s">
        <v>378</v>
      </c>
      <c r="E189" s="17" t="s">
        <v>504</v>
      </c>
      <c r="F189" s="8" t="s">
        <v>570</v>
      </c>
      <c r="G189" s="17" t="s">
        <v>571</v>
      </c>
      <c r="H189" s="17" t="s">
        <v>113</v>
      </c>
      <c r="I189" s="21" t="n">
        <v>1200</v>
      </c>
      <c r="J189" s="17"/>
    </row>
    <row r="190" customFormat="false" ht="26.25" hidden="false" customHeight="true" outlineLevel="0" collapsed="false">
      <c r="A190" s="17" t="s">
        <v>762</v>
      </c>
      <c r="B190" s="20" t="n">
        <v>46064</v>
      </c>
      <c r="C190" s="17" t="s">
        <v>188</v>
      </c>
      <c r="D190" s="17" t="s">
        <v>341</v>
      </c>
      <c r="E190" s="17" t="s">
        <v>510</v>
      </c>
      <c r="F190" s="8" t="s">
        <v>579</v>
      </c>
      <c r="G190" s="17" t="s">
        <v>575</v>
      </c>
      <c r="H190" s="17" t="s">
        <v>589</v>
      </c>
      <c r="I190" s="21" t="n">
        <v>85</v>
      </c>
      <c r="J190" s="17"/>
    </row>
    <row r="191" customFormat="false" ht="26.25" hidden="false" customHeight="true" outlineLevel="0" collapsed="false">
      <c r="A191" s="17" t="s">
        <v>763</v>
      </c>
      <c r="B191" s="20" t="n">
        <v>46057</v>
      </c>
      <c r="C191" s="17" t="s">
        <v>238</v>
      </c>
      <c r="D191" s="17" t="s">
        <v>468</v>
      </c>
      <c r="E191" s="17" t="s">
        <v>510</v>
      </c>
      <c r="F191" s="8" t="s">
        <v>564</v>
      </c>
      <c r="G191" s="17" t="s">
        <v>571</v>
      </c>
      <c r="H191" s="17" t="s">
        <v>113</v>
      </c>
      <c r="I191" s="21" t="n">
        <v>120</v>
      </c>
      <c r="J191" s="17"/>
    </row>
    <row r="192" customFormat="false" ht="26.25" hidden="false" customHeight="true" outlineLevel="0" collapsed="false">
      <c r="A192" s="17" t="s">
        <v>764</v>
      </c>
      <c r="B192" s="20" t="n">
        <v>46107</v>
      </c>
      <c r="C192" s="17" t="s">
        <v>234</v>
      </c>
      <c r="D192" s="17" t="s">
        <v>452</v>
      </c>
      <c r="E192" s="17" t="s">
        <v>514</v>
      </c>
      <c r="F192" s="8" t="s">
        <v>579</v>
      </c>
      <c r="G192" s="17" t="s">
        <v>575</v>
      </c>
      <c r="H192" s="17" t="s">
        <v>113</v>
      </c>
      <c r="I192" s="21" t="n">
        <v>340</v>
      </c>
      <c r="J192" s="17"/>
    </row>
    <row r="193" customFormat="false" ht="26.25" hidden="false" customHeight="true" outlineLevel="0" collapsed="false">
      <c r="A193" s="17" t="s">
        <v>765</v>
      </c>
      <c r="B193" s="20" t="n">
        <v>46118</v>
      </c>
      <c r="C193" s="17" t="s">
        <v>198</v>
      </c>
      <c r="D193" s="17" t="s">
        <v>368</v>
      </c>
      <c r="E193" s="17" t="s">
        <v>514</v>
      </c>
      <c r="F193" s="8" t="s">
        <v>570</v>
      </c>
      <c r="G193" s="17" t="s">
        <v>568</v>
      </c>
      <c r="H193" s="17" t="s">
        <v>589</v>
      </c>
      <c r="I193" s="21" t="n">
        <v>85</v>
      </c>
      <c r="J193" s="17"/>
    </row>
    <row r="194" customFormat="false" ht="26.25" hidden="false" customHeight="true" outlineLevel="0" collapsed="false">
      <c r="A194" s="17" t="s">
        <v>766</v>
      </c>
      <c r="B194" s="20" t="n">
        <v>46140</v>
      </c>
      <c r="C194" s="17" t="s">
        <v>243</v>
      </c>
      <c r="D194" s="17" t="s">
        <v>486</v>
      </c>
      <c r="E194" s="17" t="s">
        <v>504</v>
      </c>
      <c r="F194" s="8" t="s">
        <v>570</v>
      </c>
      <c r="G194" s="17" t="s">
        <v>568</v>
      </c>
      <c r="H194" s="17" t="s">
        <v>108</v>
      </c>
      <c r="I194" s="21" t="n">
        <v>2600</v>
      </c>
      <c r="J194" s="17" t="n">
        <v>2</v>
      </c>
    </row>
    <row r="195" customFormat="false" ht="26.25" hidden="false" customHeight="true" outlineLevel="0" collapsed="false">
      <c r="A195" s="17" t="s">
        <v>767</v>
      </c>
      <c r="B195" s="20" t="n">
        <v>46097</v>
      </c>
      <c r="C195" s="17" t="s">
        <v>226</v>
      </c>
      <c r="D195" s="17" t="s">
        <v>436</v>
      </c>
      <c r="E195" s="17" t="s">
        <v>504</v>
      </c>
      <c r="F195" s="8" t="s">
        <v>601</v>
      </c>
      <c r="G195" s="17" t="s">
        <v>568</v>
      </c>
      <c r="H195" s="17" t="s">
        <v>105</v>
      </c>
      <c r="I195" s="21" t="n">
        <v>180</v>
      </c>
      <c r="J195" s="17"/>
    </row>
    <row r="196" customFormat="false" ht="26.25" hidden="false" customHeight="true" outlineLevel="0" collapsed="false">
      <c r="A196" s="17" t="s">
        <v>768</v>
      </c>
      <c r="B196" s="20" t="n">
        <v>46064</v>
      </c>
      <c r="C196" s="17" t="s">
        <v>175</v>
      </c>
      <c r="D196" s="17" t="s">
        <v>314</v>
      </c>
      <c r="E196" s="17" t="s">
        <v>500</v>
      </c>
      <c r="F196" s="8" t="s">
        <v>579</v>
      </c>
      <c r="G196" s="17" t="s">
        <v>575</v>
      </c>
      <c r="H196" s="17" t="s">
        <v>108</v>
      </c>
      <c r="I196" s="21" t="n">
        <v>1200</v>
      </c>
      <c r="J196" s="17" t="n">
        <v>3</v>
      </c>
    </row>
    <row r="197" customFormat="false" ht="26.25" hidden="false" customHeight="true" outlineLevel="0" collapsed="false">
      <c r="A197" s="17" t="s">
        <v>769</v>
      </c>
      <c r="B197" s="20" t="n">
        <v>46090</v>
      </c>
      <c r="C197" s="17" t="s">
        <v>207</v>
      </c>
      <c r="D197" s="17" t="s">
        <v>390</v>
      </c>
      <c r="E197" s="17" t="s">
        <v>514</v>
      </c>
      <c r="F197" s="8" t="s">
        <v>564</v>
      </c>
      <c r="G197" s="17" t="s">
        <v>575</v>
      </c>
      <c r="H197" s="17" t="s">
        <v>108</v>
      </c>
      <c r="I197" s="21" t="n">
        <v>2600</v>
      </c>
      <c r="J197" s="17" t="n">
        <v>12</v>
      </c>
    </row>
    <row r="198" customFormat="false" ht="26.25" hidden="false" customHeight="true" outlineLevel="0" collapsed="false">
      <c r="A198" s="17" t="s">
        <v>770</v>
      </c>
      <c r="B198" s="20" t="n">
        <v>46054</v>
      </c>
      <c r="C198" s="17" t="s">
        <v>151</v>
      </c>
      <c r="D198" s="17" t="s">
        <v>262</v>
      </c>
      <c r="E198" s="17" t="s">
        <v>504</v>
      </c>
      <c r="F198" s="8" t="s">
        <v>573</v>
      </c>
      <c r="G198" s="17" t="s">
        <v>571</v>
      </c>
      <c r="H198" s="17" t="s">
        <v>113</v>
      </c>
      <c r="I198" s="21" t="n">
        <v>250</v>
      </c>
      <c r="J198" s="17"/>
    </row>
    <row r="199" customFormat="false" ht="26.25" hidden="false" customHeight="true" outlineLevel="0" collapsed="false">
      <c r="A199" s="17" t="s">
        <v>771</v>
      </c>
      <c r="B199" s="20" t="n">
        <v>46108</v>
      </c>
      <c r="C199" s="17" t="s">
        <v>207</v>
      </c>
      <c r="D199" s="17" t="s">
        <v>388</v>
      </c>
      <c r="E199" s="17" t="s">
        <v>504</v>
      </c>
      <c r="F199" s="8" t="s">
        <v>564</v>
      </c>
      <c r="G199" s="17" t="s">
        <v>575</v>
      </c>
      <c r="H199" s="17" t="s">
        <v>108</v>
      </c>
      <c r="I199" s="21" t="n">
        <v>1800</v>
      </c>
      <c r="J199" s="17" t="n">
        <v>5</v>
      </c>
    </row>
    <row r="200" customFormat="false" ht="26.25" hidden="false" customHeight="true" outlineLevel="0" collapsed="false">
      <c r="A200" s="17" t="s">
        <v>772</v>
      </c>
      <c r="B200" s="20" t="n">
        <v>46081</v>
      </c>
      <c r="C200" s="17" t="s">
        <v>238</v>
      </c>
      <c r="D200" s="17" t="s">
        <v>470</v>
      </c>
      <c r="E200" s="17" t="s">
        <v>514</v>
      </c>
      <c r="F200" s="8" t="s">
        <v>567</v>
      </c>
      <c r="G200" s="17" t="s">
        <v>571</v>
      </c>
      <c r="H200" s="17" t="s">
        <v>108</v>
      </c>
      <c r="I200" s="21" t="n">
        <v>1200</v>
      </c>
      <c r="J200" s="17" t="n">
        <v>4</v>
      </c>
    </row>
    <row r="201" customFormat="false" ht="26.25" hidden="false" customHeight="true" outlineLevel="0" collapsed="false">
      <c r="A201" s="17" t="s">
        <v>773</v>
      </c>
      <c r="B201" s="20" t="n">
        <v>46100</v>
      </c>
      <c r="C201" s="17" t="s">
        <v>234</v>
      </c>
      <c r="D201" s="17" t="s">
        <v>456</v>
      </c>
      <c r="E201" s="17" t="s">
        <v>506</v>
      </c>
      <c r="F201" s="8" t="s">
        <v>567</v>
      </c>
      <c r="G201" s="17" t="s">
        <v>565</v>
      </c>
      <c r="H201" s="17" t="s">
        <v>576</v>
      </c>
      <c r="I201" s="21" t="n">
        <v>85</v>
      </c>
      <c r="J201" s="17"/>
    </row>
    <row r="202" customFormat="false" ht="26.25" hidden="false" customHeight="true" outlineLevel="0" collapsed="false">
      <c r="A202" s="17" t="s">
        <v>774</v>
      </c>
      <c r="B202" s="20" t="n">
        <v>46073</v>
      </c>
      <c r="C202" s="17" t="s">
        <v>198</v>
      </c>
      <c r="D202" s="17" t="s">
        <v>367</v>
      </c>
      <c r="E202" s="17" t="s">
        <v>508</v>
      </c>
      <c r="F202" s="8" t="s">
        <v>570</v>
      </c>
      <c r="G202" s="17" t="s">
        <v>568</v>
      </c>
      <c r="H202" s="17" t="s">
        <v>113</v>
      </c>
      <c r="I202" s="21" t="n">
        <v>340</v>
      </c>
      <c r="J202" s="17"/>
    </row>
    <row r="203" customFormat="false" ht="26.25" hidden="false" customHeight="true" outlineLevel="0" collapsed="false">
      <c r="A203" s="17" t="s">
        <v>775</v>
      </c>
      <c r="B203" s="20" t="n">
        <v>46060</v>
      </c>
      <c r="C203" s="17" t="s">
        <v>216</v>
      </c>
      <c r="D203" s="17" t="s">
        <v>410</v>
      </c>
      <c r="E203" s="17" t="s">
        <v>506</v>
      </c>
      <c r="F203" s="8" t="s">
        <v>567</v>
      </c>
      <c r="G203" s="17" t="s">
        <v>571</v>
      </c>
      <c r="H203" s="17" t="s">
        <v>108</v>
      </c>
      <c r="I203" s="21" t="n">
        <v>850</v>
      </c>
      <c r="J203" s="17" t="n">
        <v>3</v>
      </c>
    </row>
    <row r="204" customFormat="false" ht="26.25" hidden="false" customHeight="true" outlineLevel="0" collapsed="false">
      <c r="A204" s="17" t="s">
        <v>776</v>
      </c>
      <c r="B204" s="20" t="n">
        <v>46029</v>
      </c>
      <c r="C204" s="17" t="s">
        <v>184</v>
      </c>
      <c r="D204" s="17" t="s">
        <v>334</v>
      </c>
      <c r="E204" s="17" t="s">
        <v>506</v>
      </c>
      <c r="F204" s="8" t="s">
        <v>579</v>
      </c>
      <c r="G204" s="17" t="s">
        <v>568</v>
      </c>
      <c r="H204" s="17" t="s">
        <v>113</v>
      </c>
      <c r="I204" s="21" t="n">
        <v>340</v>
      </c>
      <c r="J204" s="17"/>
    </row>
    <row r="205" customFormat="false" ht="26.25" hidden="false" customHeight="true" outlineLevel="0" collapsed="false">
      <c r="A205" s="17" t="s">
        <v>777</v>
      </c>
      <c r="B205" s="20" t="n">
        <v>46104</v>
      </c>
      <c r="C205" s="17" t="s">
        <v>167</v>
      </c>
      <c r="D205" s="17" t="s">
        <v>296</v>
      </c>
      <c r="E205" s="17" t="s">
        <v>506</v>
      </c>
      <c r="F205" s="8" t="s">
        <v>601</v>
      </c>
      <c r="G205" s="17" t="s">
        <v>571</v>
      </c>
      <c r="H205" s="17" t="s">
        <v>105</v>
      </c>
      <c r="I205" s="21" t="n">
        <v>250</v>
      </c>
      <c r="J205" s="17"/>
    </row>
    <row r="206" customFormat="false" ht="26.25" hidden="false" customHeight="true" outlineLevel="0" collapsed="false">
      <c r="A206" s="17" t="s">
        <v>778</v>
      </c>
      <c r="B206" s="20" t="n">
        <v>46138</v>
      </c>
      <c r="C206" s="17" t="s">
        <v>198</v>
      </c>
      <c r="D206" s="17" t="s">
        <v>361</v>
      </c>
      <c r="E206" s="17" t="s">
        <v>514</v>
      </c>
      <c r="F206" s="8" t="s">
        <v>579</v>
      </c>
      <c r="G206" s="17" t="s">
        <v>575</v>
      </c>
      <c r="H206" s="17" t="s">
        <v>113</v>
      </c>
      <c r="I206" s="21" t="n">
        <v>180</v>
      </c>
      <c r="J206" s="17"/>
    </row>
    <row r="207" customFormat="false" ht="26.25" hidden="false" customHeight="true" outlineLevel="0" collapsed="false">
      <c r="A207" s="17" t="s">
        <v>779</v>
      </c>
      <c r="B207" s="20" t="n">
        <v>46047</v>
      </c>
      <c r="C207" s="17" t="s">
        <v>208</v>
      </c>
      <c r="D207" s="17" t="s">
        <v>393</v>
      </c>
      <c r="E207" s="17" t="s">
        <v>500</v>
      </c>
      <c r="F207" s="8" t="s">
        <v>567</v>
      </c>
      <c r="G207" s="17" t="s">
        <v>571</v>
      </c>
      <c r="H207" s="17" t="s">
        <v>105</v>
      </c>
      <c r="I207" s="21" t="n">
        <v>1200</v>
      </c>
      <c r="J207" s="17"/>
    </row>
    <row r="208" customFormat="false" ht="26.25" hidden="false" customHeight="true" outlineLevel="0" collapsed="false">
      <c r="A208" s="17" t="s">
        <v>780</v>
      </c>
      <c r="B208" s="20" t="n">
        <v>46098</v>
      </c>
      <c r="C208" s="17" t="s">
        <v>245</v>
      </c>
      <c r="D208" s="17" t="s">
        <v>487</v>
      </c>
      <c r="E208" s="17" t="s">
        <v>502</v>
      </c>
      <c r="F208" s="8" t="s">
        <v>564</v>
      </c>
      <c r="G208" s="17" t="s">
        <v>575</v>
      </c>
      <c r="H208" s="17" t="s">
        <v>589</v>
      </c>
      <c r="I208" s="21" t="n">
        <v>1800</v>
      </c>
      <c r="J208" s="17"/>
    </row>
    <row r="209" customFormat="false" ht="26.25" hidden="false" customHeight="true" outlineLevel="0" collapsed="false">
      <c r="A209" s="17" t="s">
        <v>781</v>
      </c>
      <c r="B209" s="20" t="n">
        <v>46135</v>
      </c>
      <c r="C209" s="17" t="s">
        <v>237</v>
      </c>
      <c r="D209" s="17" t="s">
        <v>463</v>
      </c>
      <c r="E209" s="17" t="s">
        <v>514</v>
      </c>
      <c r="F209" s="8" t="s">
        <v>564</v>
      </c>
      <c r="G209" s="17" t="s">
        <v>568</v>
      </c>
      <c r="H209" s="17" t="s">
        <v>108</v>
      </c>
      <c r="I209" s="21" t="n">
        <v>620</v>
      </c>
      <c r="J209" s="17" t="n">
        <v>3</v>
      </c>
    </row>
    <row r="210" customFormat="false" ht="26.25" hidden="false" customHeight="true" outlineLevel="0" collapsed="false">
      <c r="A210" s="17" t="s">
        <v>782</v>
      </c>
      <c r="B210" s="20" t="n">
        <v>46078</v>
      </c>
      <c r="C210" s="17" t="s">
        <v>219</v>
      </c>
      <c r="D210" s="17" t="s">
        <v>415</v>
      </c>
      <c r="E210" s="17" t="s">
        <v>502</v>
      </c>
      <c r="F210" s="8" t="s">
        <v>567</v>
      </c>
      <c r="G210" s="17" t="s">
        <v>571</v>
      </c>
      <c r="H210" s="17" t="s">
        <v>589</v>
      </c>
      <c r="I210" s="21" t="n">
        <v>2600</v>
      </c>
      <c r="J210" s="17"/>
    </row>
    <row r="211" customFormat="false" ht="26.25" hidden="false" customHeight="true" outlineLevel="0" collapsed="false">
      <c r="A211" s="17" t="s">
        <v>783</v>
      </c>
      <c r="B211" s="20" t="n">
        <v>46064</v>
      </c>
      <c r="C211" s="17" t="s">
        <v>226</v>
      </c>
      <c r="D211" s="17" t="s">
        <v>435</v>
      </c>
      <c r="E211" s="17" t="s">
        <v>512</v>
      </c>
      <c r="F211" s="8" t="s">
        <v>564</v>
      </c>
      <c r="G211" s="17" t="s">
        <v>568</v>
      </c>
      <c r="H211" s="17" t="s">
        <v>576</v>
      </c>
      <c r="I211" s="21" t="n">
        <v>120</v>
      </c>
      <c r="J211" s="17"/>
    </row>
    <row r="212" customFormat="false" ht="26.25" hidden="false" customHeight="true" outlineLevel="0" collapsed="false">
      <c r="A212" s="17" t="s">
        <v>784</v>
      </c>
      <c r="B212" s="20" t="n">
        <v>46130</v>
      </c>
      <c r="C212" s="17" t="s">
        <v>175</v>
      </c>
      <c r="D212" s="17" t="s">
        <v>316</v>
      </c>
      <c r="E212" s="17" t="s">
        <v>500</v>
      </c>
      <c r="F212" s="8" t="s">
        <v>564</v>
      </c>
      <c r="G212" s="17" t="s">
        <v>568</v>
      </c>
      <c r="H212" s="17" t="s">
        <v>108</v>
      </c>
      <c r="I212" s="21" t="n">
        <v>1800</v>
      </c>
      <c r="J212" s="17" t="n">
        <v>4</v>
      </c>
    </row>
    <row r="213" customFormat="false" ht="26.25" hidden="false" customHeight="true" outlineLevel="0" collapsed="false">
      <c r="A213" s="17" t="s">
        <v>785</v>
      </c>
      <c r="B213" s="20" t="n">
        <v>46048</v>
      </c>
      <c r="C213" s="17" t="s">
        <v>237</v>
      </c>
      <c r="D213" s="17" t="s">
        <v>463</v>
      </c>
      <c r="E213" s="17" t="s">
        <v>514</v>
      </c>
      <c r="F213" s="8" t="s">
        <v>601</v>
      </c>
      <c r="G213" s="17" t="s">
        <v>568</v>
      </c>
      <c r="H213" s="17" t="s">
        <v>105</v>
      </c>
      <c r="I213" s="21" t="n">
        <v>620</v>
      </c>
      <c r="J213" s="17"/>
    </row>
    <row r="214" customFormat="false" ht="26.25" hidden="false" customHeight="true" outlineLevel="0" collapsed="false">
      <c r="A214" s="17" t="s">
        <v>786</v>
      </c>
      <c r="B214" s="20" t="n">
        <v>46047</v>
      </c>
      <c r="C214" s="17" t="s">
        <v>211</v>
      </c>
      <c r="D214" s="17" t="s">
        <v>402</v>
      </c>
      <c r="E214" s="17" t="s">
        <v>502</v>
      </c>
      <c r="F214" s="8" t="s">
        <v>601</v>
      </c>
      <c r="G214" s="17" t="s">
        <v>571</v>
      </c>
      <c r="H214" s="17" t="s">
        <v>108</v>
      </c>
      <c r="I214" s="21" t="n">
        <v>250</v>
      </c>
      <c r="J214" s="17" t="n">
        <v>10</v>
      </c>
    </row>
    <row r="215" customFormat="false" ht="26.25" hidden="false" customHeight="true" outlineLevel="0" collapsed="false">
      <c r="A215" s="17" t="s">
        <v>787</v>
      </c>
      <c r="B215" s="20" t="n">
        <v>46140</v>
      </c>
      <c r="C215" s="17" t="s">
        <v>179</v>
      </c>
      <c r="D215" s="17" t="s">
        <v>328</v>
      </c>
      <c r="E215" s="17" t="s">
        <v>510</v>
      </c>
      <c r="F215" s="8" t="s">
        <v>564</v>
      </c>
      <c r="G215" s="17" t="s">
        <v>568</v>
      </c>
      <c r="H215" s="17" t="s">
        <v>113</v>
      </c>
      <c r="I215" s="21" t="n">
        <v>1800</v>
      </c>
      <c r="J215" s="17"/>
    </row>
    <row r="216" customFormat="false" ht="26.25" hidden="false" customHeight="true" outlineLevel="0" collapsed="false">
      <c r="A216" s="17" t="s">
        <v>788</v>
      </c>
      <c r="B216" s="20" t="n">
        <v>46114</v>
      </c>
      <c r="C216" s="17" t="s">
        <v>200</v>
      </c>
      <c r="D216" s="17" t="s">
        <v>371</v>
      </c>
      <c r="E216" s="17" t="s">
        <v>514</v>
      </c>
      <c r="F216" s="8" t="s">
        <v>570</v>
      </c>
      <c r="G216" s="17" t="s">
        <v>575</v>
      </c>
      <c r="H216" s="17" t="s">
        <v>108</v>
      </c>
      <c r="I216" s="21" t="n">
        <v>250</v>
      </c>
      <c r="J216" s="17" t="n">
        <v>7</v>
      </c>
    </row>
    <row r="217" customFormat="false" ht="26.25" hidden="false" customHeight="true" outlineLevel="0" collapsed="false">
      <c r="A217" s="17" t="s">
        <v>789</v>
      </c>
      <c r="B217" s="20" t="n">
        <v>46128</v>
      </c>
      <c r="C217" s="17" t="s">
        <v>213</v>
      </c>
      <c r="D217" s="17" t="s">
        <v>403</v>
      </c>
      <c r="E217" s="17" t="s">
        <v>514</v>
      </c>
      <c r="F217" s="8" t="s">
        <v>570</v>
      </c>
      <c r="G217" s="17" t="s">
        <v>571</v>
      </c>
      <c r="H217" s="17" t="s">
        <v>113</v>
      </c>
      <c r="I217" s="21" t="n">
        <v>480</v>
      </c>
      <c r="J217" s="17"/>
    </row>
    <row r="218" customFormat="false" ht="26.25" hidden="false" customHeight="true" outlineLevel="0" collapsed="false">
      <c r="A218" s="17" t="s">
        <v>790</v>
      </c>
      <c r="B218" s="20" t="n">
        <v>46085</v>
      </c>
      <c r="C218" s="17" t="s">
        <v>211</v>
      </c>
      <c r="D218" s="17" t="s">
        <v>401</v>
      </c>
      <c r="E218" s="17" t="s">
        <v>514</v>
      </c>
      <c r="F218" s="8" t="s">
        <v>570</v>
      </c>
      <c r="G218" s="17" t="s">
        <v>575</v>
      </c>
      <c r="H218" s="17" t="s">
        <v>113</v>
      </c>
      <c r="I218" s="21" t="n">
        <v>250</v>
      </c>
      <c r="J218" s="17"/>
    </row>
    <row r="219" customFormat="false" ht="26.25" hidden="false" customHeight="true" outlineLevel="0" collapsed="false">
      <c r="A219" s="17" t="s">
        <v>791</v>
      </c>
      <c r="B219" s="20" t="n">
        <v>46085</v>
      </c>
      <c r="C219" s="17" t="s">
        <v>204</v>
      </c>
      <c r="D219" s="17" t="s">
        <v>380</v>
      </c>
      <c r="E219" s="17" t="s">
        <v>506</v>
      </c>
      <c r="F219" s="8" t="s">
        <v>564</v>
      </c>
      <c r="G219" s="17" t="s">
        <v>571</v>
      </c>
      <c r="H219" s="17" t="s">
        <v>113</v>
      </c>
      <c r="I219" s="21" t="n">
        <v>1200</v>
      </c>
      <c r="J219" s="17"/>
    </row>
    <row r="220" customFormat="false" ht="26.25" hidden="false" customHeight="true" outlineLevel="0" collapsed="false">
      <c r="A220" s="17" t="s">
        <v>792</v>
      </c>
      <c r="B220" s="20" t="n">
        <v>46027</v>
      </c>
      <c r="C220" s="17" t="s">
        <v>224</v>
      </c>
      <c r="D220" s="17" t="s">
        <v>424</v>
      </c>
      <c r="E220" s="17" t="s">
        <v>504</v>
      </c>
      <c r="F220" s="8" t="s">
        <v>564</v>
      </c>
      <c r="G220" s="17" t="s">
        <v>568</v>
      </c>
      <c r="H220" s="17" t="s">
        <v>105</v>
      </c>
      <c r="I220" s="21" t="n">
        <v>850</v>
      </c>
      <c r="J220" s="17"/>
    </row>
    <row r="221" customFormat="false" ht="26.25" hidden="false" customHeight="true" outlineLevel="0" collapsed="false">
      <c r="A221" s="17" t="s">
        <v>793</v>
      </c>
      <c r="B221" s="20" t="n">
        <v>46064</v>
      </c>
      <c r="C221" s="17" t="s">
        <v>198</v>
      </c>
      <c r="D221" s="17" t="s">
        <v>366</v>
      </c>
      <c r="E221" s="17" t="s">
        <v>512</v>
      </c>
      <c r="F221" s="8" t="s">
        <v>579</v>
      </c>
      <c r="G221" s="17" t="s">
        <v>565</v>
      </c>
      <c r="H221" s="17" t="s">
        <v>105</v>
      </c>
      <c r="I221" s="21" t="n">
        <v>2600</v>
      </c>
      <c r="J221" s="17"/>
    </row>
    <row r="222" customFormat="false" ht="26.25" hidden="false" customHeight="true" outlineLevel="0" collapsed="false">
      <c r="A222" s="17" t="s">
        <v>794</v>
      </c>
      <c r="B222" s="20" t="n">
        <v>46026</v>
      </c>
      <c r="C222" s="17" t="s">
        <v>211</v>
      </c>
      <c r="D222" s="17" t="s">
        <v>398</v>
      </c>
      <c r="E222" s="17" t="s">
        <v>502</v>
      </c>
      <c r="F222" s="8" t="s">
        <v>579</v>
      </c>
      <c r="G222" s="17" t="s">
        <v>568</v>
      </c>
      <c r="H222" s="17" t="s">
        <v>108</v>
      </c>
      <c r="I222" s="21" t="n">
        <v>480</v>
      </c>
      <c r="J222" s="17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5" min="3" style="1" width="18"/>
    <col collapsed="false" customWidth="true" hidden="false" outlineLevel="0" max="9" min="6" style="1" width="16"/>
  </cols>
  <sheetData>
    <row r="1" customFormat="false" ht="31.5" hidden="false" customHeight="true" outlineLevel="0" collapsed="false">
      <c r="A1" s="2" t="s">
        <v>795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3" t="s">
        <v>796</v>
      </c>
      <c r="B2" s="3"/>
      <c r="C2" s="3"/>
      <c r="D2" s="3"/>
      <c r="E2" s="3"/>
      <c r="F2" s="3"/>
      <c r="G2" s="3"/>
      <c r="H2" s="3"/>
      <c r="I2" s="3"/>
    </row>
    <row r="4" customFormat="false" ht="37.5" hidden="false" customHeight="true" outlineLevel="0" collapsed="false">
      <c r="A4" s="5" t="s">
        <v>797</v>
      </c>
      <c r="B4" s="5"/>
      <c r="C4" s="5"/>
      <c r="D4" s="5"/>
      <c r="E4" s="5"/>
      <c r="F4" s="5"/>
      <c r="G4" s="5"/>
      <c r="H4" s="5"/>
      <c r="I4" s="5"/>
    </row>
    <row r="6" customFormat="false" ht="21.75" hidden="false" customHeight="true" outlineLevel="0" collapsed="false">
      <c r="A6" s="4" t="s">
        <v>798</v>
      </c>
      <c r="B6" s="4"/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9" t="s">
        <v>799</v>
      </c>
      <c r="C7" s="16"/>
      <c r="D7" s="16"/>
      <c r="E7" s="16"/>
      <c r="F7" s="16"/>
      <c r="G7" s="16"/>
      <c r="H7" s="16"/>
      <c r="I7" s="16"/>
    </row>
    <row r="8" customFormat="false" ht="15" hidden="false" customHeight="true" outlineLevel="0" collapsed="false">
      <c r="B8" s="9" t="s">
        <v>800</v>
      </c>
      <c r="C8" s="16"/>
      <c r="D8" s="16"/>
      <c r="E8" s="16"/>
      <c r="F8" s="16"/>
      <c r="G8" s="16"/>
      <c r="H8" s="16"/>
      <c r="I8" s="16"/>
    </row>
    <row r="9" customFormat="false" ht="15" hidden="false" customHeight="true" outlineLevel="0" collapsed="false">
      <c r="B9" s="9" t="s">
        <v>801</v>
      </c>
      <c r="C9" s="16"/>
      <c r="D9" s="16"/>
      <c r="E9" s="16"/>
      <c r="F9" s="16"/>
      <c r="G9" s="16"/>
      <c r="H9" s="16"/>
      <c r="I9" s="16"/>
    </row>
    <row r="10" customFormat="false" ht="15" hidden="false" customHeight="true" outlineLevel="0" collapsed="false">
      <c r="B10" s="9" t="s">
        <v>802</v>
      </c>
      <c r="C10" s="16"/>
      <c r="D10" s="16"/>
      <c r="E10" s="16"/>
      <c r="F10" s="16"/>
      <c r="G10" s="16"/>
      <c r="H10" s="16"/>
      <c r="I10" s="16"/>
    </row>
    <row r="11" customFormat="false" ht="15" hidden="false" customHeight="true" outlineLevel="0" collapsed="false">
      <c r="B11" s="9" t="s">
        <v>803</v>
      </c>
      <c r="C11" s="16"/>
      <c r="D11" s="16"/>
      <c r="E11" s="16"/>
      <c r="F11" s="16"/>
      <c r="G11" s="16"/>
      <c r="H11" s="16"/>
      <c r="I11" s="16"/>
    </row>
    <row r="12" customFormat="false" ht="15" hidden="false" customHeight="true" outlineLevel="0" collapsed="false">
      <c r="B12" s="9" t="s">
        <v>804</v>
      </c>
      <c r="C12" s="16"/>
      <c r="D12" s="16"/>
      <c r="E12" s="16"/>
      <c r="F12" s="16"/>
      <c r="G12" s="16"/>
      <c r="H12" s="16"/>
      <c r="I12" s="16"/>
    </row>
    <row r="13" customFormat="false" ht="15" hidden="false" customHeight="true" outlineLevel="0" collapsed="false">
      <c r="B13" s="9" t="s">
        <v>805</v>
      </c>
      <c r="C13" s="16"/>
      <c r="D13" s="16"/>
      <c r="E13" s="16"/>
      <c r="F13" s="16"/>
      <c r="G13" s="16"/>
      <c r="H13" s="16"/>
      <c r="I13" s="16"/>
    </row>
    <row r="15" customFormat="false" ht="21.75" hidden="false" customHeight="true" outlineLevel="0" collapsed="false">
      <c r="A15" s="4" t="s">
        <v>806</v>
      </c>
      <c r="B15" s="4"/>
      <c r="C15" s="4"/>
      <c r="D15" s="4"/>
      <c r="E15" s="4"/>
      <c r="F15" s="4"/>
      <c r="G15" s="4"/>
      <c r="H15" s="4"/>
      <c r="I15" s="4"/>
    </row>
    <row r="17" customFormat="false" ht="15" hidden="false" customHeight="true" outlineLevel="0" collapsed="false">
      <c r="B17" s="14" t="s">
        <v>807</v>
      </c>
      <c r="C17" s="14" t="s">
        <v>808</v>
      </c>
      <c r="D17" s="14" t="s">
        <v>809</v>
      </c>
      <c r="E17" s="14" t="s">
        <v>810</v>
      </c>
      <c r="F17" s="14" t="s">
        <v>811</v>
      </c>
      <c r="G17" s="14" t="s">
        <v>812</v>
      </c>
      <c r="H17" s="14" t="s">
        <v>102</v>
      </c>
      <c r="I17" s="14" t="s">
        <v>813</v>
      </c>
    </row>
    <row r="18" customFormat="false" ht="26.25" hidden="false" customHeight="true" outlineLevel="0" collapsed="false">
      <c r="B18" s="8" t="s">
        <v>563</v>
      </c>
      <c r="C18" s="8" t="s">
        <v>814</v>
      </c>
      <c r="D18" s="8" t="s">
        <v>162</v>
      </c>
      <c r="E18" s="8" t="s">
        <v>601</v>
      </c>
      <c r="F18" s="8" t="s">
        <v>568</v>
      </c>
      <c r="G18" s="8" t="s">
        <v>815</v>
      </c>
      <c r="H18" s="8" t="s">
        <v>108</v>
      </c>
      <c r="I18" s="8" t="s">
        <v>501</v>
      </c>
    </row>
    <row r="19" customFormat="false" ht="26.25" hidden="false" customHeight="true" outlineLevel="0" collapsed="false">
      <c r="B19" s="8" t="s">
        <v>566</v>
      </c>
      <c r="C19" s="8" t="s">
        <v>816</v>
      </c>
      <c r="D19" s="8" t="s">
        <v>817</v>
      </c>
      <c r="E19" s="8" t="s">
        <v>570</v>
      </c>
      <c r="F19" s="8" t="s">
        <v>818</v>
      </c>
      <c r="G19" s="8" t="s">
        <v>819</v>
      </c>
      <c r="H19" s="8" t="s">
        <v>820</v>
      </c>
      <c r="I19" s="8" t="s">
        <v>505</v>
      </c>
    </row>
    <row r="20" customFormat="false" ht="26.25" hidden="false" customHeight="true" outlineLevel="0" collapsed="false">
      <c r="B20" s="8" t="s">
        <v>569</v>
      </c>
      <c r="C20" s="8" t="s">
        <v>821</v>
      </c>
      <c r="D20" s="8" t="s">
        <v>198</v>
      </c>
      <c r="E20" s="8" t="s">
        <v>567</v>
      </c>
      <c r="F20" s="8" t="s">
        <v>575</v>
      </c>
      <c r="G20" s="8" t="s">
        <v>822</v>
      </c>
      <c r="H20" s="8" t="s">
        <v>105</v>
      </c>
      <c r="I20" s="8" t="s">
        <v>511</v>
      </c>
    </row>
    <row r="21" customFormat="false" ht="26.25" hidden="false" customHeight="true" outlineLevel="0" collapsed="false">
      <c r="B21" s="8" t="s">
        <v>572</v>
      </c>
      <c r="C21" s="8" t="s">
        <v>823</v>
      </c>
      <c r="D21" s="8" t="s">
        <v>162</v>
      </c>
      <c r="E21" s="8" t="s">
        <v>824</v>
      </c>
      <c r="F21" s="8" t="s">
        <v>825</v>
      </c>
      <c r="G21" s="8" t="s">
        <v>815</v>
      </c>
      <c r="H21" s="8" t="s">
        <v>826</v>
      </c>
      <c r="I21" s="8" t="s">
        <v>827</v>
      </c>
    </row>
    <row r="22" customFormat="false" ht="26.25" hidden="false" customHeight="true" outlineLevel="0" collapsed="false">
      <c r="B22" s="8" t="s">
        <v>574</v>
      </c>
      <c r="C22" s="23"/>
      <c r="D22" s="8" t="s">
        <v>172</v>
      </c>
      <c r="E22" s="8" t="s">
        <v>579</v>
      </c>
      <c r="F22" s="8" t="s">
        <v>571</v>
      </c>
      <c r="G22" s="8" t="s">
        <v>828</v>
      </c>
      <c r="H22" s="8" t="s">
        <v>113</v>
      </c>
      <c r="I22" s="8" t="s">
        <v>503</v>
      </c>
    </row>
    <row r="23" customFormat="false" ht="26.25" hidden="false" customHeight="true" outlineLevel="0" collapsed="false">
      <c r="B23" s="8" t="s">
        <v>577</v>
      </c>
      <c r="C23" s="8" t="s">
        <v>829</v>
      </c>
      <c r="D23" s="8" t="s">
        <v>830</v>
      </c>
      <c r="E23" s="8" t="s">
        <v>573</v>
      </c>
      <c r="F23" s="8" t="s">
        <v>831</v>
      </c>
      <c r="G23" s="8" t="s">
        <v>832</v>
      </c>
      <c r="H23" s="8" t="s">
        <v>576</v>
      </c>
      <c r="I23" s="8" t="s">
        <v>507</v>
      </c>
    </row>
    <row r="24" customFormat="false" ht="39" hidden="false" customHeight="true" outlineLevel="0" collapsed="false">
      <c r="B24" s="8" t="s">
        <v>578</v>
      </c>
      <c r="C24" s="8" t="s">
        <v>833</v>
      </c>
      <c r="D24" s="8" t="s">
        <v>157</v>
      </c>
      <c r="E24" s="8" t="s">
        <v>570</v>
      </c>
      <c r="F24" s="8" t="s">
        <v>575</v>
      </c>
      <c r="G24" s="8" t="s">
        <v>834</v>
      </c>
      <c r="H24" s="23"/>
      <c r="I24" s="8" t="s">
        <v>509</v>
      </c>
    </row>
    <row r="25" customFormat="false" ht="26.25" hidden="false" customHeight="true" outlineLevel="0" collapsed="false">
      <c r="B25" s="8" t="s">
        <v>580</v>
      </c>
      <c r="C25" s="8" t="s">
        <v>835</v>
      </c>
      <c r="D25" s="8" t="s">
        <v>207</v>
      </c>
      <c r="E25" s="8" t="s">
        <v>564</v>
      </c>
      <c r="F25" s="8" t="s">
        <v>571</v>
      </c>
      <c r="G25" s="8" t="s">
        <v>836</v>
      </c>
      <c r="H25" s="8" t="s">
        <v>108</v>
      </c>
      <c r="I25" s="8" t="s">
        <v>511</v>
      </c>
    </row>
    <row r="26" customFormat="false" ht="26.25" hidden="false" customHeight="true" outlineLevel="0" collapsed="false">
      <c r="B26" s="8" t="s">
        <v>581</v>
      </c>
      <c r="C26" s="8" t="s">
        <v>837</v>
      </c>
      <c r="D26" s="8" t="s">
        <v>162</v>
      </c>
      <c r="E26" s="8" t="s">
        <v>601</v>
      </c>
      <c r="F26" s="8" t="s">
        <v>568</v>
      </c>
      <c r="G26" s="8" t="s">
        <v>838</v>
      </c>
      <c r="H26" s="8" t="s">
        <v>820</v>
      </c>
      <c r="I26" s="8" t="s">
        <v>501</v>
      </c>
    </row>
    <row r="27" customFormat="false" ht="26.25" hidden="false" customHeight="true" outlineLevel="0" collapsed="false">
      <c r="B27" s="8" t="s">
        <v>582</v>
      </c>
      <c r="C27" s="8" t="s">
        <v>839</v>
      </c>
      <c r="D27" s="8" t="s">
        <v>194</v>
      </c>
      <c r="E27" s="8" t="s">
        <v>601</v>
      </c>
      <c r="F27" s="8" t="s">
        <v>571</v>
      </c>
      <c r="G27" s="8" t="s">
        <v>840</v>
      </c>
      <c r="H27" s="8" t="s">
        <v>113</v>
      </c>
      <c r="I27" s="8" t="s">
        <v>503</v>
      </c>
    </row>
    <row r="28" customFormat="false" ht="26.25" hidden="false" customHeight="true" outlineLevel="0" collapsed="false">
      <c r="B28" s="8" t="s">
        <v>566</v>
      </c>
      <c r="C28" s="8" t="s">
        <v>816</v>
      </c>
      <c r="D28" s="8" t="s">
        <v>817</v>
      </c>
      <c r="E28" s="8" t="s">
        <v>570</v>
      </c>
      <c r="F28" s="8" t="s">
        <v>818</v>
      </c>
      <c r="G28" s="8" t="s">
        <v>819</v>
      </c>
      <c r="H28" s="8" t="s">
        <v>820</v>
      </c>
      <c r="I28" s="8" t="s">
        <v>505</v>
      </c>
    </row>
    <row r="29" customFormat="false" ht="26.25" hidden="false" customHeight="true" outlineLevel="0" collapsed="false">
      <c r="B29" s="8" t="s">
        <v>583</v>
      </c>
      <c r="C29" s="8" t="s">
        <v>841</v>
      </c>
      <c r="D29" s="8" t="s">
        <v>216</v>
      </c>
      <c r="E29" s="8" t="s">
        <v>567</v>
      </c>
      <c r="F29" s="8" t="s">
        <v>575</v>
      </c>
      <c r="G29" s="8" t="s">
        <v>822</v>
      </c>
      <c r="H29" s="8" t="s">
        <v>108</v>
      </c>
      <c r="I29" s="8" t="s">
        <v>511</v>
      </c>
    </row>
  </sheetData>
  <mergeCells count="12">
    <mergeCell ref="A1:I1"/>
    <mergeCell ref="A2:I2"/>
    <mergeCell ref="A4:I4"/>
    <mergeCell ref="A6:I6"/>
    <mergeCell ref="C7:I7"/>
    <mergeCell ref="C8:I8"/>
    <mergeCell ref="C9:I9"/>
    <mergeCell ref="C10:I10"/>
    <mergeCell ref="C11:I11"/>
    <mergeCell ref="C12:I12"/>
    <mergeCell ref="C13:I1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12" min="4" style="1" width="22"/>
  </cols>
  <sheetData>
    <row r="1" customFormat="false" ht="36" hidden="false" customHeight="true" outlineLevel="0" collapsed="false">
      <c r="A1" s="2" t="s">
        <v>842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3" t="s">
        <v>843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844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3.75" hidden="false" customHeight="true" outlineLevel="0" collapsed="false">
      <c r="A5" s="5" t="s">
        <v>845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3.75" hidden="false" customHeight="true" outlineLevel="0" collapsed="false">
      <c r="A6" s="5" t="s">
        <v>846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33.75" hidden="false" customHeight="true" outlineLevel="0" collapsed="false">
      <c r="A7" s="5" t="s">
        <v>847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33.75" hidden="false" customHeight="true" outlineLevel="0" collapsed="false">
      <c r="A8" s="5" t="s">
        <v>848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10" customFormat="false" ht="21.75" hidden="false" customHeight="true" outlineLevel="0" collapsed="false">
      <c r="A10" s="4" t="s">
        <v>849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1.75" hidden="false" customHeight="true" outlineLevel="0" collapsed="false">
      <c r="A11" s="5" t="s">
        <v>850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21.75" hidden="false" customHeight="true" outlineLevel="0" collapsed="false">
      <c r="A12" s="5" t="s">
        <v>851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21.75" hidden="false" customHeight="true" outlineLevel="0" collapsed="false">
      <c r="A13" s="5" t="s">
        <v>852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1.75" hidden="false" customHeight="true" outlineLevel="0" collapsed="false">
      <c r="A14" s="5" t="s">
        <v>853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21.75" hidden="false" customHeight="true" outlineLevel="0" collapsed="false">
      <c r="A15" s="5" t="s">
        <v>854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21.75" hidden="false" customHeight="true" outlineLevel="0" collapsed="false">
      <c r="A16" s="5" t="s">
        <v>855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21.75" hidden="false" customHeight="true" outlineLevel="0" collapsed="false">
      <c r="A17" s="5" t="s">
        <v>856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9" customFormat="false" ht="21.75" hidden="false" customHeight="true" outlineLevel="0" collapsed="false">
      <c r="A19" s="4" t="s">
        <v>857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true" outlineLevel="0" collapsed="false">
      <c r="B20" s="14" t="s">
        <v>98</v>
      </c>
      <c r="C20" s="6" t="s">
        <v>858</v>
      </c>
      <c r="D20" s="6" t="s">
        <v>859</v>
      </c>
    </row>
    <row r="21" customFormat="false" ht="26.25" hidden="false" customHeight="true" outlineLevel="0" collapsed="false">
      <c r="B21" s="15" t="s">
        <v>860</v>
      </c>
      <c r="C21" s="8" t="s">
        <v>861</v>
      </c>
      <c r="D21" s="8" t="s">
        <v>862</v>
      </c>
    </row>
    <row r="22" customFormat="false" ht="51.75" hidden="false" customHeight="true" outlineLevel="0" collapsed="false">
      <c r="B22" s="15" t="s">
        <v>863</v>
      </c>
      <c r="C22" s="8" t="s">
        <v>864</v>
      </c>
      <c r="D22" s="8" t="s">
        <v>865</v>
      </c>
    </row>
    <row r="23" customFormat="false" ht="39" hidden="false" customHeight="true" outlineLevel="0" collapsed="false">
      <c r="B23" s="15" t="s">
        <v>866</v>
      </c>
      <c r="C23" s="8" t="s">
        <v>867</v>
      </c>
      <c r="D23" s="8" t="s">
        <v>868</v>
      </c>
    </row>
    <row r="24" customFormat="false" ht="64.5" hidden="false" customHeight="true" outlineLevel="0" collapsed="false">
      <c r="B24" s="15" t="s">
        <v>869</v>
      </c>
      <c r="C24" s="8" t="s">
        <v>870</v>
      </c>
      <c r="D24" s="8" t="s">
        <v>871</v>
      </c>
    </row>
    <row r="25" customFormat="false" ht="64.5" hidden="false" customHeight="true" outlineLevel="0" collapsed="false">
      <c r="B25" s="15" t="s">
        <v>872</v>
      </c>
      <c r="C25" s="8" t="s">
        <v>873</v>
      </c>
      <c r="D25" s="8" t="s">
        <v>874</v>
      </c>
    </row>
    <row r="27" customFormat="false" ht="21.75" hidden="false" customHeight="true" outlineLevel="0" collapsed="false">
      <c r="A27" s="4" t="s">
        <v>875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33.75" hidden="false" customHeight="true" outlineLevel="0" collapsed="false">
      <c r="A28" s="13" t="s">
        <v>876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5" hidden="false" customHeight="true" outlineLevel="0" collapsed="false">
      <c r="B29" s="6" t="s">
        <v>561</v>
      </c>
      <c r="C29" s="14" t="s">
        <v>877</v>
      </c>
      <c r="D29" s="14" t="s">
        <v>878</v>
      </c>
      <c r="E29" s="14" t="s">
        <v>879</v>
      </c>
    </row>
    <row r="30" customFormat="false" ht="15" hidden="false" customHeight="true" outlineLevel="0" collapsed="false">
      <c r="B30" s="9" t="s">
        <v>575</v>
      </c>
      <c r="C30" s="24" t="n">
        <f aca="false">COUNTIF('06_Tickets'!G3:G222,"Low")</f>
        <v>67</v>
      </c>
      <c r="D30" s="25" t="n">
        <f aca="false">SUMIFS('06_Tickets'!I3:I222,'06_Tickets'!G3:G222,"Low")</f>
        <v>53660</v>
      </c>
      <c r="E30" s="25" t="n">
        <f aca="false">AVERAGEIFS('06_Tickets'!I3:I222,'06_Tickets'!G3:G222,"Low")</f>
        <v>800.89552238806</v>
      </c>
    </row>
    <row r="31" customFormat="false" ht="15" hidden="false" customHeight="true" outlineLevel="0" collapsed="false">
      <c r="B31" s="9" t="s">
        <v>571</v>
      </c>
      <c r="C31" s="24" t="n">
        <f aca="false">COUNTIF('06_Tickets'!G3:G222,"Medium")</f>
        <v>84</v>
      </c>
      <c r="D31" s="25" t="n">
        <f aca="false">SUMIFS('06_Tickets'!I3:I222,'06_Tickets'!G3:G222,"Medium")</f>
        <v>74870</v>
      </c>
      <c r="E31" s="25" t="n">
        <f aca="false">AVERAGEIFS('06_Tickets'!I3:I222,'06_Tickets'!G3:G222,"Medium")</f>
        <v>891.309523809524</v>
      </c>
    </row>
    <row r="32" customFormat="false" ht="15" hidden="false" customHeight="true" outlineLevel="0" collapsed="false">
      <c r="B32" s="9" t="s">
        <v>568</v>
      </c>
      <c r="C32" s="24" t="n">
        <f aca="false">COUNTIF('06_Tickets'!G3:G222,"High")</f>
        <v>45</v>
      </c>
      <c r="D32" s="25" t="n">
        <f aca="false">SUMIFS('06_Tickets'!I3:I222,'06_Tickets'!G3:G222,"High")</f>
        <v>37030</v>
      </c>
      <c r="E32" s="25" t="n">
        <f aca="false">AVERAGEIFS('06_Tickets'!I3:I222,'06_Tickets'!G3:G222,"High")</f>
        <v>822.888888888889</v>
      </c>
    </row>
    <row r="33" customFormat="false" ht="15" hidden="false" customHeight="true" outlineLevel="0" collapsed="false">
      <c r="B33" s="9" t="s">
        <v>565</v>
      </c>
      <c r="C33" s="24" t="n">
        <f aca="false">COUNTIF('06_Tickets'!G3:G222,"Critical")</f>
        <v>24</v>
      </c>
      <c r="D33" s="25" t="n">
        <f aca="false">SUMIFS('06_Tickets'!I3:I222,'06_Tickets'!G3:G222,"Critical")</f>
        <v>18520</v>
      </c>
      <c r="E33" s="25" t="n">
        <f aca="false">AVERAGEIFS('06_Tickets'!I3:I222,'06_Tickets'!G3:G222,"Critical")</f>
        <v>771.666666666667</v>
      </c>
    </row>
    <row r="34" customFormat="false" ht="15" hidden="false" customHeight="true" outlineLevel="0" collapsed="false">
      <c r="B34" s="26" t="s">
        <v>880</v>
      </c>
      <c r="C34" s="27" t="n">
        <f aca="false">COUNTA('06_Tickets'!A3:A222)</f>
        <v>220</v>
      </c>
      <c r="D34" s="28" t="n">
        <f aca="false">SUM('06_Tickets'!I3:I222)</f>
        <v>184080</v>
      </c>
      <c r="E34" s="28" t="n">
        <f aca="false">AVERAGE('06_Tickets'!I3:I222)</f>
        <v>836.727272727273</v>
      </c>
    </row>
    <row r="36" customFormat="false" ht="21.75" hidden="false" customHeight="true" outlineLevel="0" collapsed="false">
      <c r="A36" s="4" t="s">
        <v>881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21.75" hidden="false" customHeight="true" outlineLevel="0" collapsed="false">
      <c r="A37" s="5" t="s">
        <v>882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33.75" hidden="false" customHeight="true" outlineLevel="0" collapsed="false">
      <c r="A38" s="5" t="s">
        <v>883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33.75" hidden="false" customHeight="true" outlineLevel="0" collapsed="false">
      <c r="A39" s="5" t="s">
        <v>884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</sheetData>
  <mergeCells count="22">
    <mergeCell ref="A1:L1"/>
    <mergeCell ref="A2:L2"/>
    <mergeCell ref="A4:L4"/>
    <mergeCell ref="A5:L5"/>
    <mergeCell ref="A6:L6"/>
    <mergeCell ref="A7:L7"/>
    <mergeCell ref="A8:L8"/>
    <mergeCell ref="A10:L10"/>
    <mergeCell ref="A11:L11"/>
    <mergeCell ref="A12:L12"/>
    <mergeCell ref="A13:L13"/>
    <mergeCell ref="A14:L14"/>
    <mergeCell ref="A15:L15"/>
    <mergeCell ref="A16:L16"/>
    <mergeCell ref="A17:L17"/>
    <mergeCell ref="A19:L19"/>
    <mergeCell ref="A27:L27"/>
    <mergeCell ref="A28:L28"/>
    <mergeCell ref="A36:L36"/>
    <mergeCell ref="A37:L37"/>
    <mergeCell ref="A38:L38"/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12" min="4" style="1" width="20"/>
  </cols>
  <sheetData>
    <row r="1" customFormat="false" ht="36" hidden="false" customHeight="true" outlineLevel="0" collapsed="false">
      <c r="A1" s="2" t="s">
        <v>885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886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887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4" hidden="false" customHeight="true" outlineLevel="0" collapsed="false">
      <c r="A5" s="29" t="s">
        <v>888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customFormat="false" ht="84" hidden="false" customHeight="true" outlineLevel="0" collapsed="false">
      <c r="A6" s="5" t="s">
        <v>889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8" customFormat="false" ht="21.75" hidden="false" customHeight="true" outlineLevel="0" collapsed="false">
      <c r="A8" s="4" t="s">
        <v>890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4" hidden="false" customHeight="true" outlineLevel="0" collapsed="false">
      <c r="A9" s="29" t="s">
        <v>891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customFormat="false" ht="109.5" hidden="false" customHeight="true" outlineLevel="0" collapsed="false">
      <c r="A10" s="5" t="s">
        <v>892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2" customFormat="false" ht="21.75" hidden="false" customHeight="true" outlineLevel="0" collapsed="false">
      <c r="A12" s="4" t="s">
        <v>893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36" hidden="false" customHeight="true" outlineLevel="0" collapsed="false">
      <c r="A13" s="13" t="s">
        <v>894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5" customFormat="false" ht="21.75" hidden="false" customHeight="true" outlineLevel="0" collapsed="false">
      <c r="B15" s="18" t="s">
        <v>558</v>
      </c>
      <c r="C15" s="18" t="s">
        <v>143</v>
      </c>
      <c r="D15" s="18" t="s">
        <v>493</v>
      </c>
      <c r="E15" s="18" t="s">
        <v>895</v>
      </c>
      <c r="F15" s="18" t="s">
        <v>896</v>
      </c>
      <c r="G15" s="18" t="s">
        <v>897</v>
      </c>
      <c r="H15" s="18" t="s">
        <v>898</v>
      </c>
      <c r="I15" s="18" t="s">
        <v>899</v>
      </c>
    </row>
    <row r="16" customFormat="false" ht="15" hidden="false" customHeight="true" outlineLevel="0" collapsed="false">
      <c r="B16" s="17" t="s">
        <v>563</v>
      </c>
      <c r="C16" s="17" t="s">
        <v>162</v>
      </c>
      <c r="D16" s="17" t="s">
        <v>500</v>
      </c>
      <c r="E16" s="16"/>
      <c r="F16" s="16"/>
      <c r="G16" s="16"/>
      <c r="H16" s="16"/>
      <c r="I16" s="30"/>
    </row>
    <row r="17" customFormat="false" ht="15" hidden="false" customHeight="true" outlineLevel="0" collapsed="false">
      <c r="B17" s="17" t="s">
        <v>566</v>
      </c>
      <c r="C17" s="17" t="s">
        <v>179</v>
      </c>
      <c r="D17" s="17" t="s">
        <v>504</v>
      </c>
      <c r="E17" s="16"/>
      <c r="F17" s="16"/>
      <c r="G17" s="16"/>
      <c r="H17" s="16"/>
      <c r="I17" s="30"/>
    </row>
    <row r="18" customFormat="false" ht="15" hidden="false" customHeight="true" outlineLevel="0" collapsed="false">
      <c r="B18" s="17" t="s">
        <v>569</v>
      </c>
      <c r="C18" s="17" t="s">
        <v>198</v>
      </c>
      <c r="D18" s="17" t="s">
        <v>510</v>
      </c>
      <c r="E18" s="16"/>
      <c r="F18" s="16"/>
      <c r="G18" s="16"/>
      <c r="H18" s="16"/>
      <c r="I18" s="30"/>
    </row>
    <row r="19" customFormat="false" ht="15" hidden="false" customHeight="true" outlineLevel="0" collapsed="false">
      <c r="B19" s="17" t="s">
        <v>572</v>
      </c>
      <c r="C19" s="17" t="s">
        <v>162</v>
      </c>
      <c r="D19" s="17" t="s">
        <v>500</v>
      </c>
      <c r="E19" s="16"/>
      <c r="F19" s="16"/>
      <c r="G19" s="16"/>
      <c r="H19" s="16"/>
      <c r="I19" s="30"/>
    </row>
    <row r="20" customFormat="false" ht="15" hidden="false" customHeight="true" outlineLevel="0" collapsed="false">
      <c r="B20" s="17" t="s">
        <v>574</v>
      </c>
      <c r="C20" s="17" t="s">
        <v>172</v>
      </c>
      <c r="D20" s="17" t="s">
        <v>502</v>
      </c>
      <c r="E20" s="16"/>
      <c r="F20" s="16"/>
      <c r="G20" s="16"/>
      <c r="H20" s="16"/>
      <c r="I20" s="30"/>
    </row>
    <row r="21" customFormat="false" ht="15" hidden="false" customHeight="true" outlineLevel="0" collapsed="false">
      <c r="B21" s="17" t="s">
        <v>577</v>
      </c>
      <c r="C21" s="17" t="s">
        <v>184</v>
      </c>
      <c r="D21" s="17" t="s">
        <v>506</v>
      </c>
      <c r="E21" s="16"/>
      <c r="F21" s="16"/>
      <c r="G21" s="16"/>
      <c r="H21" s="16"/>
      <c r="I21" s="30"/>
    </row>
    <row r="22" customFormat="false" ht="15" hidden="false" customHeight="true" outlineLevel="0" collapsed="false">
      <c r="B22" s="17" t="s">
        <v>578</v>
      </c>
      <c r="C22" s="17" t="s">
        <v>157</v>
      </c>
      <c r="D22" s="17" t="s">
        <v>508</v>
      </c>
      <c r="E22" s="16"/>
      <c r="F22" s="16"/>
      <c r="G22" s="16"/>
      <c r="H22" s="16"/>
      <c r="I22" s="30"/>
    </row>
    <row r="23" customFormat="false" ht="15" hidden="false" customHeight="true" outlineLevel="0" collapsed="false">
      <c r="B23" s="17" t="s">
        <v>580</v>
      </c>
      <c r="C23" s="17" t="s">
        <v>207</v>
      </c>
      <c r="D23" s="17" t="s">
        <v>510</v>
      </c>
      <c r="E23" s="16"/>
      <c r="F23" s="16"/>
      <c r="G23" s="16"/>
      <c r="H23" s="16"/>
      <c r="I23" s="30"/>
    </row>
    <row r="24" customFormat="false" ht="15" hidden="false" customHeight="true" outlineLevel="0" collapsed="false">
      <c r="B24" s="17" t="s">
        <v>581</v>
      </c>
      <c r="C24" s="17" t="s">
        <v>162</v>
      </c>
      <c r="D24" s="17" t="s">
        <v>500</v>
      </c>
      <c r="E24" s="16"/>
      <c r="F24" s="16"/>
      <c r="G24" s="16"/>
      <c r="H24" s="16"/>
      <c r="I24" s="30"/>
    </row>
    <row r="25" customFormat="false" ht="15" hidden="false" customHeight="true" outlineLevel="0" collapsed="false">
      <c r="B25" s="17" t="s">
        <v>582</v>
      </c>
      <c r="C25" s="17" t="s">
        <v>194</v>
      </c>
      <c r="D25" s="17" t="s">
        <v>502</v>
      </c>
      <c r="E25" s="16"/>
      <c r="F25" s="16"/>
      <c r="G25" s="16"/>
      <c r="H25" s="16"/>
      <c r="I25" s="30"/>
    </row>
    <row r="27" customFormat="false" ht="109.5" hidden="false" customHeight="true" outlineLevel="0" collapsed="false">
      <c r="A27" s="31" t="s">
        <v>900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9" customFormat="false" ht="21.75" hidden="false" customHeight="true" outlineLevel="0" collapsed="false">
      <c r="A29" s="4" t="s">
        <v>901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21.75" hidden="false" customHeight="true" outlineLevel="0" collapsed="false">
      <c r="B30" s="18" t="s">
        <v>558</v>
      </c>
      <c r="C30" s="18" t="s">
        <v>143</v>
      </c>
      <c r="D30" s="18" t="s">
        <v>493</v>
      </c>
      <c r="E30" s="18" t="s">
        <v>144</v>
      </c>
      <c r="F30" s="18" t="s">
        <v>145</v>
      </c>
      <c r="G30" s="18" t="s">
        <v>494</v>
      </c>
      <c r="H30" s="18" t="s">
        <v>495</v>
      </c>
      <c r="I30" s="18" t="s">
        <v>902</v>
      </c>
    </row>
    <row r="31" customFormat="false" ht="23.25" hidden="false" customHeight="true" outlineLevel="0" collapsed="false">
      <c r="B31" s="32" t="s">
        <v>563</v>
      </c>
      <c r="C31" s="32" t="s">
        <v>162</v>
      </c>
      <c r="D31" s="32" t="s">
        <v>500</v>
      </c>
      <c r="E31" s="33" t="str">
        <f aca="false">VLOOKUP(C31,'02_Stores'!$A$3:$H$32,2,FALSE())</f>
        <v>Rapport London Outlet</v>
      </c>
      <c r="F31" s="33" t="str">
        <f aca="false">VLOOKUP(C31,'02_Stores'!$A$3:$H$32,3,FALSE())</f>
        <v>South</v>
      </c>
      <c r="G31" s="33" t="str">
        <f aca="false">IFERROR(INDEX('04_Providers'!$B$3:$B$10,MATCH(D31,'04_Providers'!$A$3:$A$10,0)),"-")</f>
        <v>Mercury Facilities Ltd</v>
      </c>
      <c r="H31" s="33" t="str">
        <f aca="false">IFERROR(INDEX('04_Providers'!$C$3:$C$10,MATCH(D31,'04_Providers'!$A$3:$A$10,0)),"-")</f>
        <v>HVAC</v>
      </c>
      <c r="I31" s="34" t="n">
        <f aca="false">IFERROR(INDEX('04_Providers'!$E$3:$E$10,MATCH(D31,'04_Providers'!$A$3:$A$10,0)),0)</f>
        <v>185000</v>
      </c>
    </row>
    <row r="32" customFormat="false" ht="23.25" hidden="false" customHeight="true" outlineLevel="0" collapsed="false">
      <c r="B32" s="32" t="s">
        <v>566</v>
      </c>
      <c r="C32" s="32" t="s">
        <v>179</v>
      </c>
      <c r="D32" s="32" t="s">
        <v>504</v>
      </c>
      <c r="E32" s="33" t="str">
        <f aca="false">VLOOKUP(C32,'02_Stores'!$A$3:$H$32,2,FALSE())</f>
        <v>Rapport Sheffield Retail Park</v>
      </c>
      <c r="F32" s="33" t="str">
        <f aca="false">VLOOKUP(C32,'02_Stores'!$A$3:$H$32,3,FALSE())</f>
        <v>North</v>
      </c>
      <c r="G32" s="33" t="str">
        <f aca="false">IFERROR(INDEX('04_Providers'!$B$3:$B$10,MATCH(D32,'04_Providers'!$A$3:$A$10,0)),"-")</f>
        <v>ColdChain Engineering</v>
      </c>
      <c r="H32" s="33" t="str">
        <f aca="false">IFERROR(INDEX('04_Providers'!$C$3:$C$10,MATCH(D32,'04_Providers'!$A$3:$A$10,0)),"-")</f>
        <v>Refrigeration</v>
      </c>
      <c r="I32" s="34" t="n">
        <f aca="false">IFERROR(INDEX('04_Providers'!$E$3:$E$10,MATCH(D32,'04_Providers'!$A$3:$A$10,0)),0)</f>
        <v>210000</v>
      </c>
    </row>
    <row r="33" customFormat="false" ht="23.25" hidden="false" customHeight="true" outlineLevel="0" collapsed="false">
      <c r="B33" s="32" t="s">
        <v>569</v>
      </c>
      <c r="C33" s="32" t="s">
        <v>198</v>
      </c>
      <c r="D33" s="32" t="s">
        <v>510</v>
      </c>
      <c r="E33" s="33" t="str">
        <f aca="false">VLOOKUP(C33,'02_Stores'!$A$3:$H$32,2,FALSE())</f>
        <v>Rapport Reading Outlet</v>
      </c>
      <c r="F33" s="33" t="str">
        <f aca="false">VLOOKUP(C33,'02_Stores'!$A$3:$H$32,3,FALSE())</f>
        <v>South</v>
      </c>
      <c r="G33" s="33" t="str">
        <f aca="false">IFERROR(INDEX('04_Providers'!$B$3:$B$10,MATCH(D33,'04_Providers'!$A$3:$A$10,0)),"-")</f>
        <v>SafeSite Fire Protection</v>
      </c>
      <c r="H33" s="33" t="str">
        <f aca="false">IFERROR(INDEX('04_Providers'!$C$3:$C$10,MATCH(D33,'04_Providers'!$A$3:$A$10,0)),"-")</f>
        <v>Fire Safety</v>
      </c>
      <c r="I33" s="34" t="n">
        <f aca="false">IFERROR(INDEX('04_Providers'!$E$3:$E$10,MATCH(D33,'04_Providers'!$A$3:$A$10,0)),0)</f>
        <v>120000</v>
      </c>
    </row>
    <row r="34" customFormat="false" ht="23.25" hidden="false" customHeight="true" outlineLevel="0" collapsed="false">
      <c r="B34" s="32" t="s">
        <v>572</v>
      </c>
      <c r="C34" s="32" t="s">
        <v>162</v>
      </c>
      <c r="D34" s="32" t="s">
        <v>500</v>
      </c>
      <c r="E34" s="33" t="str">
        <f aca="false">VLOOKUP(C34,'02_Stores'!$A$3:$H$32,2,FALSE())</f>
        <v>Rapport London Outlet</v>
      </c>
      <c r="F34" s="33" t="str">
        <f aca="false">VLOOKUP(C34,'02_Stores'!$A$3:$H$32,3,FALSE())</f>
        <v>South</v>
      </c>
      <c r="G34" s="33" t="str">
        <f aca="false">IFERROR(INDEX('04_Providers'!$B$3:$B$10,MATCH(D34,'04_Providers'!$A$3:$A$10,0)),"-")</f>
        <v>Mercury Facilities Ltd</v>
      </c>
      <c r="H34" s="33" t="str">
        <f aca="false">IFERROR(INDEX('04_Providers'!$C$3:$C$10,MATCH(D34,'04_Providers'!$A$3:$A$10,0)),"-")</f>
        <v>HVAC</v>
      </c>
      <c r="I34" s="34" t="n">
        <f aca="false">IFERROR(INDEX('04_Providers'!$E$3:$E$10,MATCH(D34,'04_Providers'!$A$3:$A$10,0)),0)</f>
        <v>185000</v>
      </c>
    </row>
    <row r="35" customFormat="false" ht="23.25" hidden="false" customHeight="true" outlineLevel="0" collapsed="false">
      <c r="B35" s="32" t="s">
        <v>574</v>
      </c>
      <c r="C35" s="32" t="s">
        <v>172</v>
      </c>
      <c r="D35" s="32" t="s">
        <v>502</v>
      </c>
      <c r="E35" s="33" t="str">
        <f aca="false">VLOOKUP(C35,'02_Stores'!$A$3:$H$32,2,FALSE())</f>
        <v>Rapport London Shopping Centre</v>
      </c>
      <c r="F35" s="33" t="str">
        <f aca="false">VLOOKUP(C35,'02_Stores'!$A$3:$H$32,3,FALSE())</f>
        <v>South</v>
      </c>
      <c r="G35" s="33" t="str">
        <f aca="false">IFERROR(INDEX('04_Providers'!$B$3:$B$10,MATCH(D35,'04_Providers'!$A$3:$A$10,0)),"-")</f>
        <v>Brightwell Electrical</v>
      </c>
      <c r="H35" s="33" t="str">
        <f aca="false">IFERROR(INDEX('04_Providers'!$C$3:$C$10,MATCH(D35,'04_Providers'!$A$3:$A$10,0)),"-")</f>
        <v>Lighting</v>
      </c>
      <c r="I35" s="34" t="n">
        <f aca="false">IFERROR(INDEX('04_Providers'!$E$3:$E$10,MATCH(D35,'04_Providers'!$A$3:$A$10,0)),0)</f>
        <v>142000</v>
      </c>
    </row>
    <row r="37" customFormat="false" ht="21.75" hidden="false" customHeight="true" outlineLevel="0" collapsed="false">
      <c r="A37" s="4" t="s">
        <v>881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30" hidden="false" customHeight="true" outlineLevel="0" collapsed="false">
      <c r="A38" s="5" t="s">
        <v>903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45.75" hidden="false" customHeight="true" outlineLevel="0" collapsed="false">
      <c r="A39" s="5" t="s">
        <v>904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30" hidden="false" customHeight="true" outlineLevel="0" collapsed="false">
      <c r="A40" s="5" t="s">
        <v>905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</sheetData>
  <mergeCells count="16">
    <mergeCell ref="A1:L1"/>
    <mergeCell ref="A2:L2"/>
    <mergeCell ref="A4:L4"/>
    <mergeCell ref="A5:L5"/>
    <mergeCell ref="A6:L6"/>
    <mergeCell ref="A8:L8"/>
    <mergeCell ref="A9:L9"/>
    <mergeCell ref="A10:L10"/>
    <mergeCell ref="A12:L12"/>
    <mergeCell ref="A13:L13"/>
    <mergeCell ref="A27:L27"/>
    <mergeCell ref="A29:L29"/>
    <mergeCell ref="A37:L37"/>
    <mergeCell ref="A38:L38"/>
    <mergeCell ref="A39:L39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12" min="2" style="1" width="22"/>
  </cols>
  <sheetData>
    <row r="1" customFormat="false" ht="36" hidden="false" customHeight="true" outlineLevel="0" collapsed="false">
      <c r="A1" s="2" t="s">
        <v>906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3" t="s">
        <v>907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908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customFormat="false" ht="21.75" hidden="false" customHeight="true" outlineLevel="0" collapsed="false">
      <c r="B6" s="35" t="s">
        <v>909</v>
      </c>
      <c r="C6" s="35"/>
      <c r="D6" s="35"/>
      <c r="E6" s="35" t="s">
        <v>910</v>
      </c>
      <c r="F6" s="35"/>
      <c r="G6" s="35"/>
      <c r="H6" s="35" t="s">
        <v>826</v>
      </c>
      <c r="I6" s="35"/>
      <c r="J6" s="35"/>
      <c r="K6" s="35" t="s">
        <v>911</v>
      </c>
      <c r="L6" s="35"/>
      <c r="M6" s="35"/>
    </row>
    <row r="7" customFormat="false" ht="27.75" hidden="false" customHeight="true" outlineLevel="0" collapsed="false">
      <c r="B7" s="36" t="n">
        <f aca="false">COUNTA('06_Tickets'!A3:A222)</f>
        <v>220</v>
      </c>
      <c r="C7" s="36"/>
      <c r="D7" s="36"/>
      <c r="E7" s="36" t="n">
        <f aca="false">COUNTIFS('06_Tickets'!H3:H222,"Open")+COUNTIFS('06_Tickets'!H3:H222,"In Progress")</f>
        <v>87</v>
      </c>
      <c r="F7" s="36"/>
      <c r="G7" s="36"/>
      <c r="H7" s="36" t="n">
        <f aca="false">COUNTIF('06_Tickets'!H3:H222,"Closed")</f>
        <v>103</v>
      </c>
      <c r="I7" s="36"/>
      <c r="J7" s="36"/>
      <c r="K7" s="37" t="n">
        <f aca="false">SUM('06_Tickets'!I3:I222)</f>
        <v>184080</v>
      </c>
      <c r="L7" s="37"/>
      <c r="M7" s="37"/>
    </row>
    <row r="8" customFormat="false" ht="24" hidden="false" customHeight="true" outlineLevel="0" collapsed="false">
      <c r="B8" s="36"/>
      <c r="C8" s="36"/>
      <c r="D8" s="36"/>
      <c r="E8" s="36"/>
      <c r="F8" s="36"/>
      <c r="G8" s="36"/>
      <c r="H8" s="36"/>
      <c r="I8" s="36"/>
      <c r="J8" s="36"/>
      <c r="K8" s="37"/>
      <c r="L8" s="37"/>
      <c r="M8" s="37"/>
    </row>
    <row r="10" customFormat="false" ht="21.75" hidden="false" customHeight="true" outlineLevel="0" collapsed="false">
      <c r="B10" s="35" t="s">
        <v>912</v>
      </c>
      <c r="C10" s="35"/>
      <c r="D10" s="35"/>
      <c r="E10" s="35" t="s">
        <v>913</v>
      </c>
      <c r="F10" s="35"/>
      <c r="G10" s="35"/>
      <c r="H10" s="35" t="s">
        <v>914</v>
      </c>
      <c r="I10" s="35"/>
      <c r="J10" s="35"/>
      <c r="K10" s="35" t="s">
        <v>915</v>
      </c>
      <c r="L10" s="35"/>
      <c r="M10" s="35"/>
    </row>
    <row r="11" customFormat="false" ht="27.75" hidden="false" customHeight="true" outlineLevel="0" collapsed="false">
      <c r="B11" s="37" t="n">
        <f aca="false">AVERAGE('06_Tickets'!I3:I222)</f>
        <v>836.727272727273</v>
      </c>
      <c r="C11" s="37"/>
      <c r="D11" s="37"/>
      <c r="E11" s="38" t="n">
        <f aca="false">AVERAGE('06_Tickets'!J3:J222)</f>
        <v>5.50485436893204</v>
      </c>
      <c r="F11" s="38"/>
      <c r="G11" s="38"/>
      <c r="H11" s="39" t="n">
        <f aca="false">COUNTIF('06_Tickets'!G3:G222,"Critical")/COUNTA('06_Tickets'!A3:A222)</f>
        <v>0.109090909090909</v>
      </c>
      <c r="I11" s="39"/>
      <c r="J11" s="39"/>
      <c r="K11" s="37" t="n">
        <f aca="false">MAX('06_Tickets'!I3:I222)</f>
        <v>2600</v>
      </c>
      <c r="L11" s="37"/>
      <c r="M11" s="37"/>
    </row>
    <row r="12" customFormat="false" ht="24" hidden="false" customHeight="true" outlineLevel="0" collapsed="false">
      <c r="B12" s="37"/>
      <c r="C12" s="37"/>
      <c r="D12" s="37"/>
      <c r="E12" s="38"/>
      <c r="F12" s="38"/>
      <c r="G12" s="38"/>
      <c r="H12" s="39"/>
      <c r="I12" s="39"/>
      <c r="J12" s="39"/>
      <c r="K12" s="37"/>
      <c r="L12" s="37"/>
      <c r="M12" s="37"/>
    </row>
    <row r="15" customFormat="false" ht="21.75" hidden="false" customHeight="true" outlineLevel="0" collapsed="false">
      <c r="A15" s="4" t="s">
        <v>916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7" customFormat="false" ht="15" hidden="false" customHeight="true" outlineLevel="0" collapsed="false">
      <c r="B17" s="14" t="s">
        <v>561</v>
      </c>
      <c r="C17" s="14" t="s">
        <v>917</v>
      </c>
      <c r="D17" s="14" t="s">
        <v>812</v>
      </c>
      <c r="F17" s="14" t="s">
        <v>102</v>
      </c>
      <c r="G17" s="14" t="s">
        <v>917</v>
      </c>
      <c r="H17" s="14" t="s">
        <v>812</v>
      </c>
      <c r="J17" s="14" t="s">
        <v>918</v>
      </c>
      <c r="K17" s="14" t="s">
        <v>917</v>
      </c>
      <c r="L17" s="14" t="s">
        <v>812</v>
      </c>
    </row>
    <row r="18" customFormat="false" ht="15" hidden="false" customHeight="true" outlineLevel="0" collapsed="false">
      <c r="B18" s="9" t="s">
        <v>575</v>
      </c>
      <c r="C18" s="40" t="n">
        <f aca="false">COUNTIF('06_Tickets'!G3:G222,"Low")</f>
        <v>67</v>
      </c>
      <c r="D18" s="25" t="n">
        <f aca="false">SUMIFS('06_Tickets'!I3:I222,'06_Tickets'!G3:G222,"Low")</f>
        <v>53660</v>
      </c>
      <c r="F18" s="9" t="s">
        <v>105</v>
      </c>
      <c r="G18" s="40" t="n">
        <f aca="false">COUNTIF('06_Tickets'!H3:H222,"Open")</f>
        <v>36</v>
      </c>
      <c r="H18" s="25" t="n">
        <f aca="false">SUMIFS('06_Tickets'!I3:I222,'06_Tickets'!H3:H222,"Open")</f>
        <v>32510</v>
      </c>
      <c r="J18" s="9" t="s">
        <v>919</v>
      </c>
      <c r="K18" s="40" t="n">
        <f aca="false">SUMPRODUCT((MONTH('06_Tickets'!B3:B222)=1)*1)</f>
        <v>68</v>
      </c>
      <c r="L18" s="25" t="n">
        <f aca="false">SUMPRODUCT((MONTH('06_Tickets'!B3:B222)=1)*'06_Tickets'!I3:I222)</f>
        <v>58245</v>
      </c>
    </row>
    <row r="19" customFormat="false" ht="15" hidden="false" customHeight="true" outlineLevel="0" collapsed="false">
      <c r="B19" s="9" t="s">
        <v>571</v>
      </c>
      <c r="C19" s="40" t="n">
        <f aca="false">COUNTIF('06_Tickets'!G3:G222,"Medium")</f>
        <v>84</v>
      </c>
      <c r="D19" s="25" t="n">
        <f aca="false">SUMIFS('06_Tickets'!I3:I222,'06_Tickets'!G3:G222,"Medium")</f>
        <v>74870</v>
      </c>
      <c r="F19" s="9" t="s">
        <v>113</v>
      </c>
      <c r="G19" s="40" t="n">
        <f aca="false">COUNTIF('06_Tickets'!H3:H222,"In Progress")</f>
        <v>51</v>
      </c>
      <c r="H19" s="25" t="n">
        <f aca="false">SUMIFS('06_Tickets'!I3:I222,'06_Tickets'!H3:H222,"In Progress")</f>
        <v>43025</v>
      </c>
      <c r="J19" s="9" t="s">
        <v>920</v>
      </c>
      <c r="K19" s="40" t="n">
        <f aca="false">SUMPRODUCT((MONTH('06_Tickets'!B3:B222)=2)*1)</f>
        <v>43</v>
      </c>
      <c r="L19" s="25" t="n">
        <f aca="false">SUMPRODUCT((MONTH('06_Tickets'!B3:B222)=2)*'06_Tickets'!I3:I222)</f>
        <v>36640</v>
      </c>
    </row>
    <row r="20" customFormat="false" ht="15" hidden="false" customHeight="true" outlineLevel="0" collapsed="false">
      <c r="B20" s="9" t="s">
        <v>568</v>
      </c>
      <c r="C20" s="40" t="n">
        <f aca="false">COUNTIF('06_Tickets'!G3:G222,"High")</f>
        <v>45</v>
      </c>
      <c r="D20" s="25" t="n">
        <f aca="false">SUMIFS('06_Tickets'!I3:I222,'06_Tickets'!G3:G222,"High")</f>
        <v>37030</v>
      </c>
      <c r="F20" s="9" t="s">
        <v>589</v>
      </c>
      <c r="G20" s="40" t="n">
        <f aca="false">COUNTIF('06_Tickets'!H3:H222,"Awaiting Parts")</f>
        <v>21</v>
      </c>
      <c r="H20" s="25" t="n">
        <f aca="false">SUMIFS('06_Tickets'!I3:I222,'06_Tickets'!H3:H222,"Awaiting Parts")</f>
        <v>18120</v>
      </c>
      <c r="J20" s="9" t="s">
        <v>921</v>
      </c>
      <c r="K20" s="40" t="n">
        <f aca="false">SUMPRODUCT((MONTH('06_Tickets'!B3:B222)=3)*1)</f>
        <v>49</v>
      </c>
      <c r="L20" s="25" t="n">
        <f aca="false">SUMPRODUCT((MONTH('06_Tickets'!B3:B222)=3)*'06_Tickets'!I3:I222)</f>
        <v>41800</v>
      </c>
    </row>
    <row r="21" customFormat="false" ht="15" hidden="false" customHeight="true" outlineLevel="0" collapsed="false">
      <c r="B21" s="9" t="s">
        <v>565</v>
      </c>
      <c r="C21" s="40" t="n">
        <f aca="false">COUNTIF('06_Tickets'!G3:G222,"Critical")</f>
        <v>24</v>
      </c>
      <c r="D21" s="25" t="n">
        <f aca="false">SUMIFS('06_Tickets'!I3:I222,'06_Tickets'!G3:G222,"Critical")</f>
        <v>18520</v>
      </c>
      <c r="F21" s="9" t="s">
        <v>108</v>
      </c>
      <c r="G21" s="40" t="n">
        <f aca="false">COUNTIF('06_Tickets'!H3:H222,"Closed")</f>
        <v>103</v>
      </c>
      <c r="H21" s="25" t="n">
        <f aca="false">SUMIFS('06_Tickets'!I3:I222,'06_Tickets'!H3:H222,"Closed")</f>
        <v>86535</v>
      </c>
      <c r="J21" s="9" t="s">
        <v>922</v>
      </c>
      <c r="K21" s="40" t="n">
        <f aca="false">SUMPRODUCT((MONTH('06_Tickets'!B3:B222)=4)*1)</f>
        <v>60</v>
      </c>
      <c r="L21" s="25" t="n">
        <f aca="false">SUMPRODUCT((MONTH('06_Tickets'!B3:B222)=4)*'06_Tickets'!I3:I222)</f>
        <v>47395</v>
      </c>
    </row>
    <row r="22" customFormat="false" ht="15" hidden="false" customHeight="true" outlineLevel="0" collapsed="false">
      <c r="F22" s="9" t="s">
        <v>576</v>
      </c>
      <c r="G22" s="40" t="n">
        <f aca="false">COUNTIF('06_Tickets'!H3:H222,"Escalated")</f>
        <v>9</v>
      </c>
      <c r="H22" s="25" t="n">
        <f aca="false">SUMIFS('06_Tickets'!I3:I222,'06_Tickets'!H3:H222,"Escalated")</f>
        <v>3890</v>
      </c>
    </row>
    <row r="59" customFormat="false" ht="21.75" hidden="false" customHeight="true" outlineLevel="0" collapsed="false">
      <c r="A59" s="4" t="s">
        <v>923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25.5" hidden="false" customHeight="true" outlineLevel="0" collapsed="false">
      <c r="A60" s="5" t="s">
        <v>924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25.5" hidden="false" customHeight="true" outlineLevel="0" collapsed="false">
      <c r="A61" s="5" t="s">
        <v>925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25.5" hidden="false" customHeight="true" outlineLevel="0" collapsed="false">
      <c r="A62" s="5" t="s">
        <v>926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25.5" hidden="false" customHeight="true" outlineLevel="0" collapsed="false">
      <c r="A63" s="5" t="s">
        <v>927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25.5" hidden="false" customHeight="true" outlineLevel="0" collapsed="false">
      <c r="A64" s="5" t="s">
        <v>928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customFormat="false" ht="21.75" hidden="false" customHeight="true" outlineLevel="0" collapsed="false">
      <c r="A66" s="4" t="s">
        <v>929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25.5" hidden="false" customHeight="true" outlineLevel="0" collapsed="false">
      <c r="A67" s="5" t="s">
        <v>930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25.5" hidden="false" customHeight="true" outlineLevel="0" collapsed="false">
      <c r="A68" s="5" t="s">
        <v>931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25.5" hidden="false" customHeight="true" outlineLevel="0" collapsed="false">
      <c r="A69" s="5" t="s">
        <v>932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25.5" hidden="false" customHeight="true" outlineLevel="0" collapsed="false">
      <c r="A70" s="5" t="s">
        <v>933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</sheetData>
  <mergeCells count="31">
    <mergeCell ref="A1:L1"/>
    <mergeCell ref="A2:L2"/>
    <mergeCell ref="A4:L4"/>
    <mergeCell ref="B6:D6"/>
    <mergeCell ref="E6:G6"/>
    <mergeCell ref="H6:J6"/>
    <mergeCell ref="K6:M6"/>
    <mergeCell ref="B7:D8"/>
    <mergeCell ref="E7:G8"/>
    <mergeCell ref="H7:J8"/>
    <mergeCell ref="K7:M8"/>
    <mergeCell ref="B10:D10"/>
    <mergeCell ref="E10:G10"/>
    <mergeCell ref="H10:J10"/>
    <mergeCell ref="K10:M10"/>
    <mergeCell ref="B11:D12"/>
    <mergeCell ref="E11:G12"/>
    <mergeCell ref="H11:J12"/>
    <mergeCell ref="K11:M12"/>
    <mergeCell ref="A15:L15"/>
    <mergeCell ref="A59:L59"/>
    <mergeCell ref="A60:L60"/>
    <mergeCell ref="A61:L61"/>
    <mergeCell ref="A62:L62"/>
    <mergeCell ref="A63:L63"/>
    <mergeCell ref="A64:L64"/>
    <mergeCell ref="A66:L66"/>
    <mergeCell ref="A67:L67"/>
    <mergeCell ref="A68:L68"/>
    <mergeCell ref="A69:L69"/>
    <mergeCell ref="A70:L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0"/>
    <col collapsed="false" customWidth="true" hidden="false" outlineLevel="0" max="4" min="4" style="1" width="30"/>
    <col collapsed="false" customWidth="true" hidden="false" outlineLevel="0" max="12" min="5" style="1" width="20"/>
  </cols>
  <sheetData>
    <row r="1" customFormat="false" ht="36" hidden="false" customHeight="true" outlineLevel="0" collapsed="false">
      <c r="A1" s="2" t="s">
        <v>934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3" t="s">
        <v>935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936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6" hidden="false" customHeight="true" outlineLevel="0" collapsed="false">
      <c r="A5" s="5" t="s">
        <v>937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6" hidden="false" customHeight="true" outlineLevel="0" collapsed="false">
      <c r="A6" s="5" t="s">
        <v>938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36" hidden="false" customHeight="true" outlineLevel="0" collapsed="false">
      <c r="A7" s="5" t="s">
        <v>939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36" hidden="false" customHeight="true" outlineLevel="0" collapsed="false">
      <c r="A8" s="5" t="s">
        <v>940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36" hidden="false" customHeight="true" outlineLevel="0" collapsed="false">
      <c r="A9" s="5" t="s">
        <v>941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customFormat="false" ht="21.75" hidden="false" customHeight="true" outlineLevel="0" collapsed="false">
      <c r="A11" s="4" t="s">
        <v>942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21.75" hidden="false" customHeight="true" outlineLevel="0" collapsed="false">
      <c r="A12" s="13" t="s">
        <v>943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4" customFormat="false" ht="15" hidden="false" customHeight="true" outlineLevel="0" collapsed="false">
      <c r="B14" s="6" t="s">
        <v>944</v>
      </c>
      <c r="C14" s="6" t="s">
        <v>945</v>
      </c>
    </row>
    <row r="15" customFormat="false" ht="60" hidden="false" customHeight="true" outlineLevel="0" collapsed="false">
      <c r="B15" s="41" t="s">
        <v>946</v>
      </c>
      <c r="C15" s="42" t="s">
        <v>947</v>
      </c>
    </row>
    <row r="16" customFormat="false" ht="60" hidden="false" customHeight="true" outlineLevel="0" collapsed="false">
      <c r="B16" s="41" t="s">
        <v>948</v>
      </c>
      <c r="C16" s="42" t="s">
        <v>949</v>
      </c>
    </row>
    <row r="17" customFormat="false" ht="60" hidden="false" customHeight="true" outlineLevel="0" collapsed="false">
      <c r="B17" s="41" t="s">
        <v>950</v>
      </c>
      <c r="C17" s="42" t="s">
        <v>951</v>
      </c>
    </row>
    <row r="18" customFormat="false" ht="60" hidden="false" customHeight="true" outlineLevel="0" collapsed="false">
      <c r="B18" s="41" t="s">
        <v>952</v>
      </c>
      <c r="C18" s="42" t="s">
        <v>953</v>
      </c>
    </row>
    <row r="19" customFormat="false" ht="60" hidden="false" customHeight="true" outlineLevel="0" collapsed="false">
      <c r="B19" s="41" t="s">
        <v>954</v>
      </c>
      <c r="C19" s="42" t="s">
        <v>955</v>
      </c>
    </row>
    <row r="20" customFormat="false" ht="60" hidden="false" customHeight="true" outlineLevel="0" collapsed="false">
      <c r="B20" s="41" t="s">
        <v>956</v>
      </c>
      <c r="C20" s="42" t="s">
        <v>957</v>
      </c>
    </row>
    <row r="21" customFormat="false" ht="60" hidden="false" customHeight="true" outlineLevel="0" collapsed="false">
      <c r="B21" s="41" t="s">
        <v>958</v>
      </c>
      <c r="C21" s="42" t="s">
        <v>959</v>
      </c>
    </row>
    <row r="22" customFormat="false" ht="60" hidden="false" customHeight="true" outlineLevel="0" collapsed="false">
      <c r="B22" s="41" t="s">
        <v>960</v>
      </c>
      <c r="C22" s="42" t="s">
        <v>961</v>
      </c>
    </row>
    <row r="23" customFormat="false" ht="60" hidden="false" customHeight="true" outlineLevel="0" collapsed="false">
      <c r="B23" s="41" t="s">
        <v>962</v>
      </c>
      <c r="C23" s="42" t="s">
        <v>963</v>
      </c>
    </row>
    <row r="24" customFormat="false" ht="60" hidden="false" customHeight="true" outlineLevel="0" collapsed="false">
      <c r="B24" s="41" t="s">
        <v>964</v>
      </c>
      <c r="C24" s="42" t="s">
        <v>965</v>
      </c>
    </row>
    <row r="25" customFormat="false" ht="60" hidden="false" customHeight="true" outlineLevel="0" collapsed="false">
      <c r="B25" s="41" t="s">
        <v>966</v>
      </c>
      <c r="C25" s="42" t="s">
        <v>967</v>
      </c>
    </row>
    <row r="27" customFormat="false" ht="21.75" hidden="false" customHeight="true" outlineLevel="0" collapsed="false">
      <c r="A27" s="4" t="s">
        <v>968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true" outlineLevel="0" collapsed="false">
      <c r="B28" s="6" t="s">
        <v>969</v>
      </c>
      <c r="C28" s="6" t="s">
        <v>970</v>
      </c>
    </row>
    <row r="29" customFormat="false" ht="37.5" hidden="false" customHeight="true" outlineLevel="0" collapsed="false">
      <c r="B29" s="9" t="s">
        <v>971</v>
      </c>
      <c r="C29" s="42" t="s">
        <v>972</v>
      </c>
    </row>
    <row r="30" customFormat="false" ht="37.5" hidden="false" customHeight="true" outlineLevel="0" collapsed="false">
      <c r="B30" s="9" t="s">
        <v>973</v>
      </c>
      <c r="C30" s="42" t="s">
        <v>974</v>
      </c>
    </row>
    <row r="31" customFormat="false" ht="37.5" hidden="false" customHeight="true" outlineLevel="0" collapsed="false">
      <c r="B31" s="9" t="s">
        <v>975</v>
      </c>
      <c r="C31" s="42" t="s">
        <v>976</v>
      </c>
    </row>
    <row r="32" customFormat="false" ht="37.5" hidden="false" customHeight="true" outlineLevel="0" collapsed="false">
      <c r="B32" s="9" t="s">
        <v>977</v>
      </c>
      <c r="C32" s="42" t="s">
        <v>978</v>
      </c>
    </row>
    <row r="33" customFormat="false" ht="37.5" hidden="false" customHeight="true" outlineLevel="0" collapsed="false">
      <c r="B33" s="9" t="s">
        <v>979</v>
      </c>
      <c r="C33" s="42" t="s">
        <v>980</v>
      </c>
    </row>
    <row r="34" customFormat="false" ht="37.5" hidden="false" customHeight="true" outlineLevel="0" collapsed="false">
      <c r="B34" s="9" t="s">
        <v>981</v>
      </c>
      <c r="C34" s="42" t="s">
        <v>982</v>
      </c>
    </row>
  </sheetData>
  <mergeCells count="11">
    <mergeCell ref="A1:L1"/>
    <mergeCell ref="A2:L2"/>
    <mergeCell ref="A4:L4"/>
    <mergeCell ref="A5:L5"/>
    <mergeCell ref="A6:L6"/>
    <mergeCell ref="A7:L7"/>
    <mergeCell ref="A8:L8"/>
    <mergeCell ref="A9:L9"/>
    <mergeCell ref="A11:L11"/>
    <mergeCell ref="A12:L12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0"/>
    <col collapsed="false" customWidth="true" hidden="false" outlineLevel="0" max="4" min="4" style="1" width="28"/>
    <col collapsed="false" customWidth="true" hidden="false" outlineLevel="0" max="12" min="5" style="1" width="20"/>
  </cols>
  <sheetData>
    <row r="1" customFormat="false" ht="36" hidden="false" customHeight="true" outlineLevel="0" collapsed="false">
      <c r="A1" s="2" t="s">
        <v>983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3" t="s">
        <v>984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985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7.75" hidden="false" customHeight="true" outlineLevel="0" collapsed="false">
      <c r="A5" s="5" t="s">
        <v>986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7.75" hidden="false" customHeight="true" outlineLevel="0" collapsed="false">
      <c r="A6" s="5" t="s">
        <v>987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7.75" hidden="false" customHeight="true" outlineLevel="0" collapsed="false">
      <c r="A7" s="5" t="s">
        <v>988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27.75" hidden="false" customHeight="true" outlineLevel="0" collapsed="false">
      <c r="A8" s="5" t="s">
        <v>989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10" customFormat="false" ht="21.75" hidden="false" customHeight="true" outlineLevel="0" collapsed="false">
      <c r="A10" s="4" t="s">
        <v>990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true" outlineLevel="0" collapsed="false">
      <c r="B11" s="6" t="s">
        <v>944</v>
      </c>
      <c r="C11" s="6" t="s">
        <v>991</v>
      </c>
    </row>
    <row r="12" customFormat="false" ht="54" hidden="false" customHeight="true" outlineLevel="0" collapsed="false">
      <c r="B12" s="41" t="s">
        <v>992</v>
      </c>
      <c r="C12" s="42" t="s">
        <v>993</v>
      </c>
    </row>
    <row r="13" customFormat="false" ht="54" hidden="false" customHeight="true" outlineLevel="0" collapsed="false">
      <c r="B13" s="41" t="s">
        <v>994</v>
      </c>
      <c r="C13" s="42" t="s">
        <v>995</v>
      </c>
    </row>
    <row r="14" customFormat="false" ht="54" hidden="false" customHeight="true" outlineLevel="0" collapsed="false">
      <c r="B14" s="41" t="s">
        <v>996</v>
      </c>
      <c r="C14" s="42" t="s">
        <v>997</v>
      </c>
    </row>
    <row r="15" customFormat="false" ht="54" hidden="false" customHeight="true" outlineLevel="0" collapsed="false">
      <c r="B15" s="41" t="s">
        <v>998</v>
      </c>
      <c r="C15" s="42" t="s">
        <v>999</v>
      </c>
    </row>
    <row r="16" customFormat="false" ht="54" hidden="false" customHeight="true" outlineLevel="0" collapsed="false">
      <c r="B16" s="41" t="s">
        <v>1000</v>
      </c>
      <c r="C16" s="42" t="s">
        <v>1001</v>
      </c>
    </row>
    <row r="17" customFormat="false" ht="54" hidden="false" customHeight="true" outlineLevel="0" collapsed="false">
      <c r="B17" s="41" t="s">
        <v>1002</v>
      </c>
      <c r="C17" s="42" t="s">
        <v>1003</v>
      </c>
    </row>
    <row r="18" customFormat="false" ht="54" hidden="false" customHeight="true" outlineLevel="0" collapsed="false">
      <c r="B18" s="41" t="s">
        <v>1004</v>
      </c>
      <c r="C18" s="42" t="s">
        <v>1005</v>
      </c>
    </row>
    <row r="19" customFormat="false" ht="54" hidden="false" customHeight="true" outlineLevel="0" collapsed="false">
      <c r="B19" s="41" t="s">
        <v>1006</v>
      </c>
      <c r="C19" s="42" t="s">
        <v>1007</v>
      </c>
    </row>
    <row r="20" customFormat="false" ht="54" hidden="false" customHeight="true" outlineLevel="0" collapsed="false">
      <c r="B20" s="41" t="s">
        <v>1008</v>
      </c>
      <c r="C20" s="42" t="s">
        <v>1009</v>
      </c>
    </row>
    <row r="22" customFormat="false" ht="21.75" hidden="false" customHeight="true" outlineLevel="0" collapsed="false">
      <c r="A22" s="4" t="s">
        <v>1010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24" hidden="false" customHeight="true" outlineLevel="0" collapsed="false">
      <c r="A23" s="5" t="s">
        <v>1011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24" hidden="false" customHeight="true" outlineLevel="0" collapsed="false">
      <c r="A24" s="5" t="s">
        <v>1012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24" hidden="false" customHeight="true" outlineLevel="0" collapsed="false">
      <c r="A25" s="5" t="s">
        <v>1013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24" hidden="false" customHeight="true" outlineLevel="0" collapsed="false">
      <c r="A26" s="5" t="s">
        <v>1014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24" hidden="false" customHeight="true" outlineLevel="0" collapsed="false">
      <c r="A27" s="5" t="s">
        <v>1015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21.75" hidden="false" customHeight="true" outlineLevel="0" collapsed="false">
      <c r="A29" s="4" t="s">
        <v>1016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21.75" hidden="false" customHeight="true" outlineLevel="0" collapsed="false">
      <c r="A30" s="29" t="s">
        <v>1017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customFormat="false" ht="90" hidden="false" customHeight="true" outlineLevel="0" collapsed="false">
      <c r="A31" s="31" t="s">
        <v>1018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3" customFormat="false" ht="21.75" hidden="false" customHeight="true" outlineLevel="0" collapsed="false">
      <c r="A33" s="4" t="s">
        <v>1019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66" hidden="false" customHeight="true" outlineLevel="0" collapsed="false">
      <c r="A34" s="5" t="s">
        <v>1020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</sheetData>
  <mergeCells count="19">
    <mergeCell ref="A1:L1"/>
    <mergeCell ref="A2:L2"/>
    <mergeCell ref="A4:L4"/>
    <mergeCell ref="A5:L5"/>
    <mergeCell ref="A6:L6"/>
    <mergeCell ref="A7:L7"/>
    <mergeCell ref="A8:L8"/>
    <mergeCell ref="A10:L10"/>
    <mergeCell ref="A22:L22"/>
    <mergeCell ref="A23:L23"/>
    <mergeCell ref="A24:L24"/>
    <mergeCell ref="A25:L25"/>
    <mergeCell ref="A26:L26"/>
    <mergeCell ref="A27:L27"/>
    <mergeCell ref="A29:L29"/>
    <mergeCell ref="A30:L30"/>
    <mergeCell ref="A31:L31"/>
    <mergeCell ref="A33:L33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50"/>
    <col collapsed="false" customWidth="true" hidden="false" outlineLevel="0" max="12" min="5" style="1" width="12"/>
  </cols>
  <sheetData>
    <row r="1" customFormat="false" ht="36" hidden="false" customHeight="true" outlineLevel="0" collapsed="false">
      <c r="A1" s="2" t="s">
        <v>1021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2" hidden="false" customHeight="true" outlineLevel="0" collapsed="false">
      <c r="A2" s="3" t="s">
        <v>1022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B4" s="14" t="s">
        <v>98</v>
      </c>
      <c r="C4" s="6" t="s">
        <v>1023</v>
      </c>
      <c r="D4" s="6" t="s">
        <v>1024</v>
      </c>
    </row>
    <row r="5" customFormat="false" ht="55.5" hidden="false" customHeight="true" outlineLevel="0" collapsed="false">
      <c r="B5" s="15" t="s">
        <v>103</v>
      </c>
      <c r="C5" s="42" t="s">
        <v>1025</v>
      </c>
      <c r="D5" s="43"/>
    </row>
    <row r="6" customFormat="false" ht="55.5" hidden="false" customHeight="true" outlineLevel="0" collapsed="false">
      <c r="B6" s="15" t="s">
        <v>106</v>
      </c>
      <c r="C6" s="42" t="s">
        <v>1026</v>
      </c>
      <c r="D6" s="43"/>
    </row>
    <row r="7" customFormat="false" ht="55.5" hidden="false" customHeight="true" outlineLevel="0" collapsed="false">
      <c r="B7" s="15" t="s">
        <v>109</v>
      </c>
      <c r="C7" s="42" t="s">
        <v>1027</v>
      </c>
      <c r="D7" s="43"/>
    </row>
    <row r="8" customFormat="false" ht="55.5" hidden="false" customHeight="true" outlineLevel="0" collapsed="false">
      <c r="B8" s="15" t="s">
        <v>111</v>
      </c>
      <c r="C8" s="42" t="s">
        <v>1028</v>
      </c>
      <c r="D8" s="43"/>
    </row>
    <row r="9" customFormat="false" ht="55.5" hidden="false" customHeight="true" outlineLevel="0" collapsed="false">
      <c r="B9" s="15" t="s">
        <v>114</v>
      </c>
      <c r="C9" s="42" t="s">
        <v>1029</v>
      </c>
      <c r="D9" s="43"/>
    </row>
    <row r="10" customFormat="false" ht="55.5" hidden="false" customHeight="true" outlineLevel="0" collapsed="false">
      <c r="B10" s="15" t="s">
        <v>1030</v>
      </c>
      <c r="C10" s="42" t="s">
        <v>1031</v>
      </c>
      <c r="D10" s="43"/>
    </row>
    <row r="11" customFormat="false" ht="55.5" hidden="false" customHeight="true" outlineLevel="0" collapsed="false">
      <c r="B11" s="15" t="s">
        <v>1032</v>
      </c>
      <c r="C11" s="42" t="s">
        <v>1033</v>
      </c>
      <c r="D11" s="43"/>
    </row>
    <row r="12" customFormat="false" ht="55.5" hidden="false" customHeight="true" outlineLevel="0" collapsed="false">
      <c r="B12" s="15" t="s">
        <v>1034</v>
      </c>
      <c r="C12" s="42" t="s">
        <v>1035</v>
      </c>
      <c r="D12" s="43"/>
    </row>
    <row r="13" customFormat="false" ht="55.5" hidden="false" customHeight="true" outlineLevel="0" collapsed="false">
      <c r="B13" s="15" t="s">
        <v>1036</v>
      </c>
      <c r="C13" s="42" t="s">
        <v>1037</v>
      </c>
      <c r="D13" s="43"/>
    </row>
    <row r="14" customFormat="false" ht="55.5" hidden="false" customHeight="true" outlineLevel="0" collapsed="false">
      <c r="B14" s="15" t="s">
        <v>1038</v>
      </c>
      <c r="C14" s="42" t="s">
        <v>1039</v>
      </c>
      <c r="D14" s="43"/>
    </row>
    <row r="15" customFormat="false" ht="55.5" hidden="false" customHeight="true" outlineLevel="0" collapsed="false">
      <c r="B15" s="15" t="s">
        <v>1040</v>
      </c>
      <c r="C15" s="42" t="s">
        <v>1041</v>
      </c>
      <c r="D15" s="43"/>
    </row>
    <row r="16" customFormat="false" ht="55.5" hidden="false" customHeight="true" outlineLevel="0" collapsed="false">
      <c r="B16" s="15" t="s">
        <v>1042</v>
      </c>
      <c r="C16" s="42" t="s">
        <v>1043</v>
      </c>
      <c r="D16" s="43"/>
    </row>
    <row r="17" customFormat="false" ht="55.5" hidden="false" customHeight="true" outlineLevel="0" collapsed="false">
      <c r="B17" s="15" t="s">
        <v>1044</v>
      </c>
      <c r="C17" s="42" t="s">
        <v>1045</v>
      </c>
      <c r="D17" s="43"/>
    </row>
    <row r="18" customFormat="false" ht="55.5" hidden="false" customHeight="true" outlineLevel="0" collapsed="false">
      <c r="B18" s="15" t="s">
        <v>1046</v>
      </c>
      <c r="C18" s="42" t="s">
        <v>1047</v>
      </c>
      <c r="D18" s="43"/>
    </row>
    <row r="19" customFormat="false" ht="55.5" hidden="false" customHeight="true" outlineLevel="0" collapsed="false">
      <c r="B19" s="15" t="s">
        <v>1048</v>
      </c>
      <c r="C19" s="42" t="s">
        <v>1049</v>
      </c>
      <c r="D19" s="4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40"/>
    <col collapsed="false" customWidth="true" hidden="false" outlineLevel="0" max="4" min="4" style="1" width="70"/>
    <col collapsed="false" customWidth="true" hidden="false" outlineLevel="0" max="12" min="5" style="1" width="12"/>
  </cols>
  <sheetData>
    <row r="1" customFormat="false" ht="36" hidden="false" customHeight="true" outlineLevel="0" collapsed="false">
      <c r="A1" s="2" t="s">
        <v>1050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1051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1052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true" outlineLevel="0" collapsed="false">
      <c r="B5" s="14" t="s">
        <v>98</v>
      </c>
      <c r="C5" s="6" t="s">
        <v>99</v>
      </c>
      <c r="D5" s="6" t="s">
        <v>1053</v>
      </c>
    </row>
    <row r="6" customFormat="false" ht="15" hidden="false" customHeight="true" outlineLevel="0" collapsed="false">
      <c r="B6" s="15" t="s">
        <v>103</v>
      </c>
      <c r="C6" s="8" t="s">
        <v>1054</v>
      </c>
      <c r="D6" s="33" t="n">
        <f aca="false">SUM(H2:H8)</f>
        <v>0</v>
      </c>
    </row>
    <row r="7" customFormat="false" ht="15" hidden="false" customHeight="true" outlineLevel="0" collapsed="false">
      <c r="B7" s="15" t="s">
        <v>106</v>
      </c>
      <c r="C7" s="8" t="s">
        <v>1055</v>
      </c>
      <c r="D7" s="33" t="n">
        <f aca="false">COUNTIF(I2:I8,"Closed")</f>
        <v>0</v>
      </c>
    </row>
    <row r="8" customFormat="false" ht="15" hidden="false" customHeight="true" outlineLevel="0" collapsed="false">
      <c r="B8" s="15" t="s">
        <v>109</v>
      </c>
      <c r="C8" s="8" t="s">
        <v>110</v>
      </c>
      <c r="D8" s="33" t="s">
        <v>1056</v>
      </c>
    </row>
    <row r="9" customFormat="false" ht="15" hidden="false" customHeight="true" outlineLevel="0" collapsed="false">
      <c r="B9" s="15" t="s">
        <v>111</v>
      </c>
      <c r="C9" s="8" t="s">
        <v>1057</v>
      </c>
      <c r="D9" s="33" t="str">
        <f aca="false">IF(SUM(H2:H8)&gt;500,"Big","Small")</f>
        <v>Small</v>
      </c>
    </row>
    <row r="10" customFormat="false" ht="15" hidden="false" customHeight="true" outlineLevel="0" collapsed="false">
      <c r="B10" s="15" t="s">
        <v>114</v>
      </c>
      <c r="C10" s="8" t="s">
        <v>1058</v>
      </c>
      <c r="D10" s="33" t="str">
        <f aca="true">TEXT(TODAY(),"dd-mmm-yyyy")</f>
        <v>24-Apr-2026</v>
      </c>
    </row>
    <row r="12" customFormat="false" ht="21.75" hidden="false" customHeight="true" outlineLevel="0" collapsed="false">
      <c r="A12" s="4" t="s">
        <v>1059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B13" s="14" t="s">
        <v>1060</v>
      </c>
      <c r="C13" s="6" t="s">
        <v>1061</v>
      </c>
      <c r="D13" s="6" t="s">
        <v>1062</v>
      </c>
    </row>
    <row r="14" customFormat="false" ht="15" hidden="false" customHeight="true" outlineLevel="0" collapsed="false">
      <c r="B14" s="15" t="n">
        <v>1</v>
      </c>
      <c r="C14" s="8" t="s">
        <v>895</v>
      </c>
      <c r="D14" s="33" t="s">
        <v>1063</v>
      </c>
    </row>
    <row r="15" customFormat="false" ht="15" hidden="false" customHeight="true" outlineLevel="0" collapsed="false">
      <c r="B15" s="15" t="n">
        <v>2</v>
      </c>
      <c r="C15" s="8" t="s">
        <v>896</v>
      </c>
      <c r="D15" s="33" t="s">
        <v>1064</v>
      </c>
    </row>
    <row r="16" customFormat="false" ht="15" hidden="false" customHeight="true" outlineLevel="0" collapsed="false">
      <c r="B16" s="15" t="n">
        <v>3</v>
      </c>
      <c r="C16" s="8" t="s">
        <v>897</v>
      </c>
      <c r="D16" s="33" t="s">
        <v>1065</v>
      </c>
    </row>
    <row r="17" customFormat="false" ht="15" hidden="false" customHeight="true" outlineLevel="0" collapsed="false">
      <c r="B17" s="15" t="n">
        <v>4</v>
      </c>
      <c r="C17" s="8" t="s">
        <v>898</v>
      </c>
      <c r="D17" s="33" t="s">
        <v>1066</v>
      </c>
    </row>
    <row r="18" customFormat="false" ht="15" hidden="false" customHeight="true" outlineLevel="0" collapsed="false">
      <c r="B18" s="15" t="n">
        <v>5</v>
      </c>
      <c r="C18" s="8" t="s">
        <v>899</v>
      </c>
      <c r="D18" s="33" t="s">
        <v>1067</v>
      </c>
    </row>
    <row r="20" customFormat="false" ht="36" hidden="false" customHeight="true" outlineLevel="0" collapsed="false">
      <c r="A20" s="44" t="s">
        <v>1068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customFormat="false" ht="51.75" hidden="false" customHeight="true" outlineLevel="0" collapsed="false">
      <c r="A21" s="44" t="s">
        <v>1069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customFormat="false" ht="30" hidden="false" customHeight="true" outlineLevel="0" collapsed="false">
      <c r="A22" s="44" t="s">
        <v>1070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4" customFormat="false" ht="21.75" hidden="false" customHeight="true" outlineLevel="0" collapsed="false">
      <c r="A24" s="4" t="s">
        <v>1071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true" outlineLevel="0" collapsed="false">
      <c r="B25" s="14" t="s">
        <v>98</v>
      </c>
      <c r="C25" s="6" t="s">
        <v>1072</v>
      </c>
      <c r="D25" s="6" t="s">
        <v>1073</v>
      </c>
    </row>
    <row r="26" customFormat="false" ht="30" hidden="false" customHeight="true" outlineLevel="0" collapsed="false">
      <c r="B26" s="15" t="s">
        <v>103</v>
      </c>
      <c r="C26" s="42" t="s">
        <v>1074</v>
      </c>
      <c r="D26" s="45" t="s">
        <v>1075</v>
      </c>
    </row>
    <row r="27" customFormat="false" ht="30" hidden="false" customHeight="true" outlineLevel="0" collapsed="false">
      <c r="B27" s="15" t="s">
        <v>106</v>
      </c>
      <c r="C27" s="42" t="s">
        <v>1076</v>
      </c>
      <c r="D27" s="45" t="s">
        <v>1077</v>
      </c>
    </row>
    <row r="28" customFormat="false" ht="30" hidden="false" customHeight="true" outlineLevel="0" collapsed="false">
      <c r="B28" s="15" t="s">
        <v>109</v>
      </c>
      <c r="C28" s="42" t="s">
        <v>1078</v>
      </c>
      <c r="D28" s="45" t="s">
        <v>1079</v>
      </c>
    </row>
    <row r="29" customFormat="false" ht="30" hidden="false" customHeight="true" outlineLevel="0" collapsed="false">
      <c r="B29" s="15" t="s">
        <v>111</v>
      </c>
      <c r="C29" s="42" t="s">
        <v>1080</v>
      </c>
      <c r="D29" s="45" t="s">
        <v>1081</v>
      </c>
    </row>
    <row r="30" customFormat="false" ht="30" hidden="false" customHeight="true" outlineLevel="0" collapsed="false">
      <c r="B30" s="15" t="s">
        <v>114</v>
      </c>
      <c r="C30" s="42" t="s">
        <v>1082</v>
      </c>
      <c r="D30" s="45" t="s">
        <v>1083</v>
      </c>
    </row>
    <row r="31" customFormat="false" ht="30" hidden="false" customHeight="true" outlineLevel="0" collapsed="false">
      <c r="B31" s="15" t="s">
        <v>1030</v>
      </c>
      <c r="C31" s="42" t="s">
        <v>1084</v>
      </c>
      <c r="D31" s="45" t="s">
        <v>1085</v>
      </c>
    </row>
    <row r="32" customFormat="false" ht="30" hidden="false" customHeight="true" outlineLevel="0" collapsed="false">
      <c r="B32" s="15" t="s">
        <v>1032</v>
      </c>
      <c r="C32" s="42" t="s">
        <v>1086</v>
      </c>
      <c r="D32" s="45" t="s">
        <v>1087</v>
      </c>
    </row>
    <row r="34" customFormat="false" ht="21.75" hidden="false" customHeight="true" outlineLevel="0" collapsed="false">
      <c r="A34" s="4" t="s">
        <v>1088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true" outlineLevel="0" collapsed="false">
      <c r="B35" s="14" t="s">
        <v>98</v>
      </c>
      <c r="C35" s="6" t="s">
        <v>1023</v>
      </c>
      <c r="D35" s="6" t="s">
        <v>1089</v>
      </c>
    </row>
    <row r="36" customFormat="false" ht="60" hidden="false" customHeight="true" outlineLevel="0" collapsed="false">
      <c r="B36" s="15" t="s">
        <v>103</v>
      </c>
      <c r="C36" s="42" t="s">
        <v>1025</v>
      </c>
      <c r="D36" s="45" t="s">
        <v>1090</v>
      </c>
    </row>
    <row r="37" customFormat="false" ht="60" hidden="false" customHeight="true" outlineLevel="0" collapsed="false">
      <c r="B37" s="15" t="s">
        <v>106</v>
      </c>
      <c r="C37" s="42" t="s">
        <v>1026</v>
      </c>
      <c r="D37" s="45" t="s">
        <v>1091</v>
      </c>
    </row>
    <row r="38" customFormat="false" ht="60" hidden="false" customHeight="true" outlineLevel="0" collapsed="false">
      <c r="B38" s="15" t="s">
        <v>109</v>
      </c>
      <c r="C38" s="42" t="s">
        <v>1027</v>
      </c>
      <c r="D38" s="45" t="s">
        <v>1092</v>
      </c>
    </row>
    <row r="39" customFormat="false" ht="60" hidden="false" customHeight="true" outlineLevel="0" collapsed="false">
      <c r="B39" s="15" t="s">
        <v>111</v>
      </c>
      <c r="C39" s="42" t="s">
        <v>1028</v>
      </c>
      <c r="D39" s="45" t="s">
        <v>1093</v>
      </c>
    </row>
    <row r="40" customFormat="false" ht="60" hidden="false" customHeight="true" outlineLevel="0" collapsed="false">
      <c r="B40" s="15" t="s">
        <v>114</v>
      </c>
      <c r="C40" s="42" t="s">
        <v>1029</v>
      </c>
      <c r="D40" s="45" t="s">
        <v>1094</v>
      </c>
    </row>
    <row r="41" customFormat="false" ht="60" hidden="false" customHeight="true" outlineLevel="0" collapsed="false">
      <c r="B41" s="15" t="s">
        <v>1030</v>
      </c>
      <c r="C41" s="42" t="s">
        <v>1031</v>
      </c>
      <c r="D41" s="45" t="s">
        <v>1095</v>
      </c>
    </row>
    <row r="42" customFormat="false" ht="60" hidden="false" customHeight="true" outlineLevel="0" collapsed="false">
      <c r="B42" s="15" t="s">
        <v>1032</v>
      </c>
      <c r="C42" s="42" t="s">
        <v>1033</v>
      </c>
      <c r="D42" s="45" t="s">
        <v>1096</v>
      </c>
    </row>
    <row r="43" customFormat="false" ht="60" hidden="false" customHeight="true" outlineLevel="0" collapsed="false">
      <c r="B43" s="15" t="s">
        <v>1034</v>
      </c>
      <c r="C43" s="42" t="s">
        <v>1035</v>
      </c>
      <c r="D43" s="45" t="s">
        <v>1097</v>
      </c>
    </row>
    <row r="44" customFormat="false" ht="60" hidden="false" customHeight="true" outlineLevel="0" collapsed="false">
      <c r="B44" s="15" t="s">
        <v>1036</v>
      </c>
      <c r="C44" s="42" t="s">
        <v>1037</v>
      </c>
      <c r="D44" s="45" t="s">
        <v>1098</v>
      </c>
    </row>
    <row r="45" customFormat="false" ht="60" hidden="false" customHeight="true" outlineLevel="0" collapsed="false">
      <c r="B45" s="15" t="s">
        <v>1038</v>
      </c>
      <c r="C45" s="42" t="s">
        <v>1039</v>
      </c>
      <c r="D45" s="45" t="s">
        <v>1099</v>
      </c>
    </row>
    <row r="46" customFormat="false" ht="60" hidden="false" customHeight="true" outlineLevel="0" collapsed="false">
      <c r="B46" s="15" t="s">
        <v>1040</v>
      </c>
      <c r="C46" s="42" t="s">
        <v>1041</v>
      </c>
      <c r="D46" s="45" t="s">
        <v>1100</v>
      </c>
    </row>
    <row r="47" customFormat="false" ht="60" hidden="false" customHeight="true" outlineLevel="0" collapsed="false">
      <c r="B47" s="15" t="s">
        <v>1042</v>
      </c>
      <c r="C47" s="42" t="s">
        <v>1043</v>
      </c>
      <c r="D47" s="45" t="s">
        <v>1101</v>
      </c>
    </row>
    <row r="48" customFormat="false" ht="60" hidden="false" customHeight="true" outlineLevel="0" collapsed="false">
      <c r="B48" s="15" t="s">
        <v>1044</v>
      </c>
      <c r="C48" s="42" t="s">
        <v>1045</v>
      </c>
      <c r="D48" s="45" t="s">
        <v>1102</v>
      </c>
    </row>
    <row r="49" customFormat="false" ht="60" hidden="false" customHeight="true" outlineLevel="0" collapsed="false">
      <c r="B49" s="15" t="s">
        <v>1046</v>
      </c>
      <c r="C49" s="42" t="s">
        <v>1047</v>
      </c>
      <c r="D49" s="45" t="s">
        <v>1103</v>
      </c>
    </row>
    <row r="50" customFormat="false" ht="60" hidden="false" customHeight="true" outlineLevel="0" collapsed="false">
      <c r="B50" s="15" t="s">
        <v>1048</v>
      </c>
      <c r="C50" s="42" t="s">
        <v>1049</v>
      </c>
      <c r="D50" s="45" t="s">
        <v>1104</v>
      </c>
    </row>
  </sheetData>
  <mergeCells count="9">
    <mergeCell ref="A1:L1"/>
    <mergeCell ref="A2:L2"/>
    <mergeCell ref="A4:L4"/>
    <mergeCell ref="A12:L12"/>
    <mergeCell ref="A20:L20"/>
    <mergeCell ref="A21:L21"/>
    <mergeCell ref="A22:L22"/>
    <mergeCell ref="A24:L24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2026-04-24T01:35:47Z</dcterms:created>
  <dc:creator>openpyxl</dc:creator>
  <dc:description/>
  <dc:language>en-US</dc:language>
  <cp:lastModifiedBy/>
  <dcterms:modified xsi:type="dcterms:W3CDTF">2026-04-24T01:43:03Z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